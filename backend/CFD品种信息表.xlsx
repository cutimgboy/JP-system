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品种交易设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<sst xmlns="http://schemas.openxmlformats.org/spreadsheetml/2006/main" count="919" uniqueCount="561">
  <si>
    <t>序号</t>
  </si>
  <si>
    <t>品种类型</t>
  </si>
  <si>
    <t>代码</t>
  </si>
  <si>
    <t>交易代码</t>
  </si>
  <si>
    <t>简体名称</t>
  </si>
  <si>
    <t>英文名称</t>
  </si>
  <si>
    <t>越南语名称</t>
  </si>
  <si>
    <t>货币类型</t>
  </si>
  <si>
    <t>保证金货币</t>
  </si>
  <si>
    <t>小数位</t>
  </si>
  <si>
    <t>买价价差</t>
  </si>
  <si>
    <t>卖价价差</t>
  </si>
  <si>
    <t>价差</t>
  </si>
  <si>
    <t>合约量</t>
  </si>
  <si>
    <t>交易最小变动</t>
  </si>
  <si>
    <t>固定杠杆</t>
  </si>
  <si>
    <t>涨跌爆仓幅度</t>
  </si>
  <si>
    <t>强制平仓比例</t>
  </si>
  <si>
    <t>交易时间</t>
  </si>
  <si>
    <t>指数</t>
  </si>
  <si>
    <t>US500</t>
  </si>
  <si>
    <t>标准普尔500指数</t>
  </si>
  <si>
    <t>S&amp;P 500</t>
  </si>
  <si>
    <t>Chỉ số S&amp;P 500</t>
  </si>
  <si>
    <t>USD</t>
  </si>
  <si>
    <t>（GMT0时区）：周日 22:00 - 周五21:00，每交易日休息时间21:00-22:00</t>
  </si>
  <si>
    <t>NAS100</t>
  </si>
  <si>
    <t>纳斯达克100指数</t>
  </si>
  <si>
    <t>NASDAQ-100</t>
  </si>
  <si>
    <t>Chỉ số NASDAQ-100</t>
  </si>
  <si>
    <t>（GMT0时区）：周日 22:00 - 周五20:45，每交易日休息时间21:00-22:00</t>
  </si>
  <si>
    <t>US30</t>
  </si>
  <si>
    <t>道琼斯工业平均指数</t>
  </si>
  <si>
    <t>Dow Jones Industrial Average</t>
  </si>
  <si>
    <t>Chỉ số Trung bình Công nghiệp Dow Jones</t>
  </si>
  <si>
    <t>CHA50</t>
  </si>
  <si>
    <t>富时中国A50指数</t>
  </si>
  <si>
    <t>China A50 Index</t>
  </si>
  <si>
    <t>Chỉ số A50 Trung Quốc</t>
  </si>
  <si>
    <t>（GMT0时区）：周一、周二、周三、周四、周五  01:00 - 20:45</t>
  </si>
  <si>
    <t>HK50</t>
  </si>
  <si>
    <t>HSI.HK</t>
  </si>
  <si>
    <t>恒生指数</t>
  </si>
  <si>
    <t>Hang Seng Index</t>
  </si>
  <si>
    <t>Chỉ số Hang Seng</t>
  </si>
  <si>
    <t>HKD</t>
  </si>
  <si>
    <t>（GMT0时区）：周一、周二、周三、周四、周五  01:15 - 19:00</t>
  </si>
  <si>
    <t>TWRIC</t>
  </si>
  <si>
    <t>台湾RIC Capped指数</t>
  </si>
  <si>
    <t>Taiwan RIC Capped Index</t>
  </si>
  <si>
    <t>Chỉ số Taiwan RIC Capped</t>
  </si>
  <si>
    <t>（GMT0时区）：周一、周二、周三、周四、周五  01:00 - 21:00</t>
  </si>
  <si>
    <t>SG20</t>
  </si>
  <si>
    <t>新加坡20指数</t>
  </si>
  <si>
    <t>Singapore 20 Index</t>
  </si>
  <si>
    <t>Chỉ số Singapore 20</t>
  </si>
  <si>
    <t>SGD</t>
  </si>
  <si>
    <t>（GMT0时区）：周日 23:00 - 周五21:00，每交易日休息时间21:00-23:00</t>
  </si>
  <si>
    <t>NI225</t>
  </si>
  <si>
    <t>日经225指数</t>
  </si>
  <si>
    <t>Nikkei 225</t>
  </si>
  <si>
    <t>Chỉ số Nikkei 225</t>
  </si>
  <si>
    <t>JPY</t>
  </si>
  <si>
    <t>AUS200</t>
  </si>
  <si>
    <t>澳大利亚ASX 200指数</t>
  </si>
  <si>
    <t>S&amp;P/ASX 200</t>
  </si>
  <si>
    <t>Chỉ số S&amp;P/ASX 200 của Úc</t>
  </si>
  <si>
    <t>AUD</t>
  </si>
  <si>
    <t>（GMT0时区）：周日 23:50 - 周五20:00，每交易日休息时间20:00-23:50、 06:00-07:10</t>
  </si>
  <si>
    <t>GER30</t>
  </si>
  <si>
    <t>德国DAX 30指数</t>
  </si>
  <si>
    <t>DAX</t>
  </si>
  <si>
    <t>Chỉ số DAX của Đức</t>
  </si>
  <si>
    <t>EUR</t>
  </si>
  <si>
    <t>（GMT0时区）：周一、周二、周三、周四、周五  00:30 - 20:00</t>
  </si>
  <si>
    <t>UK100</t>
  </si>
  <si>
    <t>英国FTSE 100指数</t>
  </si>
  <si>
    <t>FTSE 100</t>
  </si>
  <si>
    <t>Chỉ số FTSE 100 của Anh</t>
  </si>
  <si>
    <t>GBP</t>
  </si>
  <si>
    <t>（GMT0时区）：周一、周二、周三、周四、周五  00:00 - 20:00</t>
  </si>
  <si>
    <t>FRA40</t>
  </si>
  <si>
    <t>法国CAC 40指数</t>
  </si>
  <si>
    <t>CAC 40</t>
  </si>
  <si>
    <t>Chỉ số CAC 40 của Pháp</t>
  </si>
  <si>
    <t>（GMT0时区）：周一、周二、周三、周四、周五  06:00 - 20:00</t>
  </si>
  <si>
    <t>KOSPI</t>
  </si>
  <si>
    <t>韩国KOSPI指数</t>
  </si>
  <si>
    <t>Chỉ số IBEX 35 của Tây Ban Nha</t>
  </si>
  <si>
    <t>（GMT0时区）：周一、周二、周三、周四、周五  06:00 - 18:00</t>
  </si>
  <si>
    <t>VIX</t>
  </si>
  <si>
    <t>VIX恐慌指数</t>
  </si>
  <si>
    <t>Chỉ số AEX của Hà Lan</t>
  </si>
  <si>
    <t>（GMT0时区）：周一、周二、周三、周四、周五  07:00 - 15:30</t>
  </si>
  <si>
    <t>商品</t>
  </si>
  <si>
    <t>XAUUSD</t>
  </si>
  <si>
    <t>GOLD</t>
  </si>
  <si>
    <t>黄金</t>
  </si>
  <si>
    <t>Vàng</t>
  </si>
  <si>
    <t>夏令时（3月-11月）（GMT0时区）：周日 22:00 - 周五21:00 每交易日休息时间21:00-22:00 
冬令时（11月-次年3月）（GMT0时区）：周日 23:00 - 周五 22:00 每交易日休息时间22:00-23:00</t>
  </si>
  <si>
    <t>XAGUSD</t>
  </si>
  <si>
    <t>Silver</t>
  </si>
  <si>
    <t>白银</t>
  </si>
  <si>
    <t>Bạc</t>
  </si>
  <si>
    <t>夏令时（3月-11月）（GMT0时区）：周日 22:00 - 周五 21:00 Daily Break 21:00-22:00 
冬令时（11月-次年3月）（GMT0时区）：周日 23:00 - 周五 22:00 Daily Break 22:00-23:00</t>
  </si>
  <si>
    <t>XALUSD</t>
  </si>
  <si>
    <t>Aluminum</t>
  </si>
  <si>
    <t>铝</t>
  </si>
  <si>
    <t>Nhôm</t>
  </si>
  <si>
    <t>夏令时（3月-11月）（GMT0时区）：周一 01:00 - 周五 18:00 每交易日休息时间18:00-01:00
冬令时（11月-次年3月）（GMT0时区）：周一 02:00 - 周五 19:00 每交易日休息时间19:00-02:00</t>
  </si>
  <si>
    <t>XCUUSD</t>
  </si>
  <si>
    <t>COPPER</t>
  </si>
  <si>
    <t>铜</t>
  </si>
  <si>
    <t>Đồng</t>
  </si>
  <si>
    <t>UKOUSD</t>
  </si>
  <si>
    <t>UKOIL</t>
  </si>
  <si>
    <t>布伦特原油</t>
  </si>
  <si>
    <t>Dầu Brent</t>
  </si>
  <si>
    <t>夏令时（3月-11月）（GMT0时区）：周一 00:00 - 周五 20:45 每交易日休息时间21:00-00:00 
冬令时（11月-次年3月）（GMT0时区）： 周一 01:00 - 周五 21:45 每交易日休息时间22:00-01:00</t>
  </si>
  <si>
    <t>USOUSD</t>
  </si>
  <si>
    <t>USOIL</t>
  </si>
  <si>
    <t>美国原油</t>
  </si>
  <si>
    <t>Dầu Mỹ</t>
  </si>
  <si>
    <t>夏令时（3月-11月）（GMT0时区）：周天 22:00 - 周五 20:45 ，Daily Break 21:00-22:00 
冬令时（11月-次年3月）（GMT0时区）： 周天 23:00 - 周五 21:45 ，Daily Break 22:00-23:00</t>
  </si>
  <si>
    <t>XNGUSD</t>
  </si>
  <si>
    <t>NGAS</t>
  </si>
  <si>
    <t>天然气</t>
  </si>
  <si>
    <t>Khí tự nhiên</t>
  </si>
  <si>
    <t>夏令时（3月-11月）（GMT0时区）： 周日 22:00 -周五 21:00  每交易日休息时间 21:00-22:00 
冬令时（11月-次年3月）（GMT0时区）： 周日 23:00 - 周五 22:00 每交易日休息时间 22:00-23:00</t>
  </si>
  <si>
    <t>Crypto</t>
  </si>
  <si>
    <t>BTC</t>
  </si>
  <si>
    <t>BTCUSDT</t>
  </si>
  <si>
    <t>比特币</t>
  </si>
  <si>
    <t>Bitcoin</t>
  </si>
  <si>
    <t>7*24小时交易</t>
  </si>
  <si>
    <t>ETH</t>
  </si>
  <si>
    <t>ETHUSDT</t>
  </si>
  <si>
    <t>以太坊</t>
  </si>
  <si>
    <t>Ethereum</t>
  </si>
  <si>
    <t>XRP</t>
  </si>
  <si>
    <t>XRPUSDT</t>
  </si>
  <si>
    <t>瑞波币</t>
  </si>
  <si>
    <t>7*25小时交易</t>
  </si>
  <si>
    <t>BNB</t>
  </si>
  <si>
    <t>BNBUSDT</t>
  </si>
  <si>
    <t>币安币</t>
  </si>
  <si>
    <t>7*26小时交易</t>
  </si>
  <si>
    <t>SOL</t>
  </si>
  <si>
    <t>SOLUSDT</t>
  </si>
  <si>
    <t>Solana</t>
  </si>
  <si>
    <t>7*27小时交易</t>
  </si>
  <si>
    <t>DOGE</t>
  </si>
  <si>
    <t>DOGEUSDT</t>
  </si>
  <si>
    <t>狗狗币</t>
  </si>
  <si>
    <t>Dogecoin</t>
  </si>
  <si>
    <t>7*28小时交易</t>
  </si>
  <si>
    <t>TRX</t>
  </si>
  <si>
    <t>TRXUSDT</t>
  </si>
  <si>
    <t>波场币</t>
  </si>
  <si>
    <t>TRON</t>
  </si>
  <si>
    <t>7*29小时交易</t>
  </si>
  <si>
    <t>ADA</t>
  </si>
  <si>
    <t>ADAUSDT</t>
  </si>
  <si>
    <t>艾达币</t>
  </si>
  <si>
    <t>Cardano</t>
  </si>
  <si>
    <t>7*30小时交易</t>
  </si>
  <si>
    <t>XLM</t>
  </si>
  <si>
    <t>XLMUSDT</t>
  </si>
  <si>
    <t>恒星币</t>
  </si>
  <si>
    <t>Stellar Lumens</t>
  </si>
  <si>
    <t>Stellar</t>
  </si>
  <si>
    <t>7*31小时交易</t>
  </si>
  <si>
    <t>SUI</t>
  </si>
  <si>
    <t>SUIUSDT</t>
  </si>
  <si>
    <t>Sui</t>
  </si>
  <si>
    <t>7*32小时交易</t>
  </si>
  <si>
    <t>HBAR</t>
  </si>
  <si>
    <t>HBARUSDT</t>
  </si>
  <si>
    <t>Hedera Hashgraph</t>
  </si>
  <si>
    <t>Hedera (HBAR)</t>
  </si>
  <si>
    <t>7*33小时交易</t>
  </si>
  <si>
    <t>LINK</t>
  </si>
  <si>
    <t>LINKUSDT</t>
  </si>
  <si>
    <t>ChainLink</t>
  </si>
  <si>
    <t>7*34小时交易</t>
  </si>
  <si>
    <t>BCH</t>
  </si>
  <si>
    <t>BCHUSDT</t>
  </si>
  <si>
    <t>比特币现金</t>
  </si>
  <si>
    <t>Bitcoin Cash</t>
  </si>
  <si>
    <t>7*35小时交易</t>
  </si>
  <si>
    <t>AVAX</t>
  </si>
  <si>
    <t>AVAXUSDT</t>
  </si>
  <si>
    <t>Avax雪崩币</t>
  </si>
  <si>
    <t>Avalanche</t>
  </si>
  <si>
    <t>7*36小时交易</t>
  </si>
  <si>
    <t>SHIB</t>
  </si>
  <si>
    <t>SHIBUSDT</t>
  </si>
  <si>
    <t>柴犬币</t>
  </si>
  <si>
    <t>SHIBA INU</t>
  </si>
  <si>
    <t>Shiba Inu</t>
  </si>
  <si>
    <t>7*37小时交易</t>
  </si>
  <si>
    <t>TON</t>
  </si>
  <si>
    <t>TONUSDT</t>
  </si>
  <si>
    <t>Toncoin</t>
  </si>
  <si>
    <t>7*38小时交易</t>
  </si>
  <si>
    <t>LTC</t>
  </si>
  <si>
    <t>LTCUSDT</t>
  </si>
  <si>
    <t>莱特币</t>
  </si>
  <si>
    <t>Litecoin</t>
  </si>
  <si>
    <t>7*39小时交易</t>
  </si>
  <si>
    <t>DOT</t>
  </si>
  <si>
    <t>DOTUSDT</t>
  </si>
  <si>
    <t>波卡币</t>
  </si>
  <si>
    <t>Polkadot</t>
  </si>
  <si>
    <t>7*40小时交易</t>
  </si>
  <si>
    <t>PEPE</t>
  </si>
  <si>
    <t>PEPEUSDT</t>
  </si>
  <si>
    <t>佩佩蛙</t>
  </si>
  <si>
    <t>Pepe</t>
  </si>
  <si>
    <t>7*41小时交易</t>
  </si>
  <si>
    <t>TRUMP</t>
  </si>
  <si>
    <t>TRUMPUSDT</t>
  </si>
  <si>
    <t>川普币</t>
  </si>
  <si>
    <t>OFFICIAL TRUMP</t>
  </si>
  <si>
    <t>Trump</t>
  </si>
  <si>
    <t>7*42小时交易</t>
  </si>
  <si>
    <t>外汇</t>
  </si>
  <si>
    <t>USDCAD</t>
  </si>
  <si>
    <t>美元/加元</t>
  </si>
  <si>
    <t>U.S. Dollar / Canadian Dollar</t>
  </si>
  <si>
    <t>Đô la Mỹ / Đô la Canada</t>
  </si>
  <si>
    <t>CAD</t>
  </si>
  <si>
    <t>夏令时（3月-11月）（GMT0时区）：周日21点-周五21点
冬令时（11月-次年3月）（GMT0时区）：周日22点-周五22点</t>
  </si>
  <si>
    <t>USDCHF</t>
  </si>
  <si>
    <t>美元/瑞士法郎</t>
  </si>
  <si>
    <t>U.S. Dollar / Swiss Franc</t>
  </si>
  <si>
    <t>Đô la Mỹ / Franc Thụy Sĩ</t>
  </si>
  <si>
    <t>CHF</t>
  </si>
  <si>
    <t>夏令时（3月-11月）（GMT0时区）：周日21点-周五21点
冬令时（11月-次年3月）（GMT0时区）：周日22点-周五23点</t>
  </si>
  <si>
    <t>USDCNH</t>
  </si>
  <si>
    <t>美元/人民币</t>
  </si>
  <si>
    <t>U.S. Dollar / Chinese Yuan</t>
  </si>
  <si>
    <t>Đô la Mỹ / Nhân dân tệ</t>
  </si>
  <si>
    <t>CNH</t>
  </si>
  <si>
    <t>夏令时（3月-11月）（GMT0时区）：周日21点-周五21点
冬令时（11月-次年3月）（GMT0时区）：周日22点-周五24点</t>
  </si>
  <si>
    <t>USDHKD</t>
  </si>
  <si>
    <t>美元/港元</t>
  </si>
  <si>
    <t>U.S. Dollar / Hong Kong Dollar</t>
  </si>
  <si>
    <t>Đô la Mỹ / Đô la Hồng Kông</t>
  </si>
  <si>
    <t>夏令时（3月-11月）（GMT0时区）：周日21点-周五21点
冬令时（11月-次年3月）（GMT0时区）：周日22点-周五25点</t>
  </si>
  <si>
    <t>USDJPY</t>
  </si>
  <si>
    <t>美元/日元</t>
  </si>
  <si>
    <t>U.S. Dollar / Japanese Yen</t>
  </si>
  <si>
    <t>Đô la Mỹ / Yên Nhật</t>
  </si>
  <si>
    <t>夏令时（3月-11月）（GMT0时区）：周日21点-周五21点
冬令时（11月-次年3月）（GMT0时区）：周日22点-周五26点</t>
  </si>
  <si>
    <t>USDSGD</t>
  </si>
  <si>
    <t>美元/新加坡元</t>
  </si>
  <si>
    <t>U.S. Dollar / Singapore Dollar</t>
  </si>
  <si>
    <t>Đô la Mỹ / Đô la Singapore</t>
  </si>
  <si>
    <t>夏令时（3月-11月）（GMT0时区）：周日21点-周五21点
冬令时（11月-次年3月）（GMT0时区）：周日22点-周五27点</t>
  </si>
  <si>
    <t>USDTHB</t>
  </si>
  <si>
    <t>美元/泰铢</t>
  </si>
  <si>
    <t>U.S. Dollar / Thai Baht</t>
  </si>
  <si>
    <t>Đô la Mỹ / Bạt Thái Lan</t>
  </si>
  <si>
    <t>THB</t>
  </si>
  <si>
    <t>夏令时（3月-11月）（GMT0时区）：周日21点-周五21点
冬令时（11月-次年3月）（GMT0时区）：周日22点-周五28点</t>
  </si>
  <si>
    <t>USDVND</t>
  </si>
  <si>
    <t>美元/越南盾</t>
  </si>
  <si>
    <t>U.S. DOLLAR / VIETNAMESE DONG</t>
  </si>
  <si>
    <t>Đô la Mỹ / Đồng Việt Nam</t>
  </si>
  <si>
    <t>VND</t>
  </si>
  <si>
    <t>夏令时（3月-11月）（GMT0时区）：周日21点-周五21点
冬令时（11月-次年3月）（GMT0时区）：周日22点-周五29点</t>
  </si>
  <si>
    <t>USDKRW</t>
  </si>
  <si>
    <t>美元/韩元</t>
  </si>
  <si>
    <t>U.S. Dollar / South Korean</t>
  </si>
  <si>
    <t>Đô la Mỹ / Won Hàn Quốc</t>
  </si>
  <si>
    <t>KRW</t>
  </si>
  <si>
    <t>夏令时（3月-11月）（GMT0时区）：周日21点-周五21点
冬令时（11月-次年3月）（GMT0时区）：周日22点-周五30点</t>
  </si>
  <si>
    <t>AUDUSD</t>
  </si>
  <si>
    <t>澳元/美元</t>
  </si>
  <si>
    <t>Australian Dollar / U.S. Dollar</t>
  </si>
  <si>
    <t>Đô la Úc / Đô la Mỹ</t>
  </si>
  <si>
    <t>夏令时（3月-11月）（GMT0时区）：周日21点-周五21点
冬令时（11月-次年3月）（GMT0时区）：周日22点-周五31点</t>
  </si>
  <si>
    <t>GBPUSD</t>
  </si>
  <si>
    <t>英镑/美元</t>
  </si>
  <si>
    <t>British Pound / U.S. Dollar</t>
  </si>
  <si>
    <t>Bảng Anh / Đô la Mỹ</t>
  </si>
  <si>
    <t>夏令时（3月-11月）（GMT0时区）：周日21点-周五21点
冬令时（11月-次年3月）（GMT0时区）：周日22点-周五32点</t>
  </si>
  <si>
    <t>股票</t>
  </si>
  <si>
    <t>NVDA</t>
  </si>
  <si>
    <t>NVDA.US</t>
  </si>
  <si>
    <t>英伟达</t>
  </si>
  <si>
    <t>NVIDIA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</si>
  <si>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5:00-9:00</t>
  </si>
  <si>
    <t>MSFT</t>
  </si>
  <si>
    <t>MSFT.US</t>
  </si>
  <si>
    <t>微软</t>
  </si>
  <si>
    <t>Microsoft Corp.</t>
  </si>
  <si>
    <t>Microsoft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</si>
  <si>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5:00-9:01</t>
  </si>
  <si>
    <t>AAPL</t>
  </si>
  <si>
    <t>AAPL.US</t>
  </si>
  <si>
    <t>苹果</t>
  </si>
  <si>
    <t>Apple Inc</t>
  </si>
  <si>
    <t>Apple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</si>
  <si>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5:00-9:02</t>
  </si>
  <si>
    <t>AMZN</t>
  </si>
  <si>
    <t>AMZN.US</t>
  </si>
  <si>
    <t>亚马逊</t>
  </si>
  <si>
    <t>Amazon.com</t>
  </si>
  <si>
    <t>Amazon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</si>
  <si>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5:00-9:03</t>
  </si>
  <si>
    <t>GOOG</t>
  </si>
  <si>
    <t>GOOG.US</t>
  </si>
  <si>
    <t>谷歌</t>
  </si>
  <si>
    <t>Alphabet Inc</t>
  </si>
  <si>
    <t>Alphabet (Google)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</si>
  <si>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5:00-9:04</t>
  </si>
  <si>
    <t>META</t>
  </si>
  <si>
    <t>META.US</t>
  </si>
  <si>
    <t>Meta Platforms</t>
  </si>
  <si>
    <t>Meta (Facebook)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</si>
  <si>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5:00-9:05</t>
  </si>
  <si>
    <t>AVGO</t>
  </si>
  <si>
    <t>AVGO.US</t>
  </si>
  <si>
    <t>博通</t>
  </si>
  <si>
    <t>Broadcom Inc.</t>
  </si>
  <si>
    <t>Broadcom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</si>
  <si>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5:00-9:06</t>
  </si>
  <si>
    <t>TSLA</t>
  </si>
  <si>
    <t>TSLA.US</t>
  </si>
  <si>
    <t>特斯拉</t>
  </si>
  <si>
    <t>Tesla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</si>
  <si>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5:00-9:07</t>
  </si>
  <si>
    <t>BRK</t>
  </si>
  <si>
    <t>BRK.US</t>
  </si>
  <si>
    <t>伯克希尔-A</t>
  </si>
  <si>
    <t>Berkshire Hathaway Inc</t>
  </si>
  <si>
    <t>Berkshire Hathaway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</si>
  <si>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5:00-9:08</t>
  </si>
  <si>
    <t>JPM</t>
  </si>
  <si>
    <t>JPM.US</t>
  </si>
  <si>
    <t>摩根大通</t>
  </si>
  <si>
    <t>JP Morgan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</si>
  <si>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5:00-9:09</t>
  </si>
  <si>
    <t>WMT</t>
  </si>
  <si>
    <t>WMT.US</t>
  </si>
  <si>
    <t>沃尔玛</t>
  </si>
  <si>
    <t>Walmart Inc.</t>
  </si>
  <si>
    <t>Walmart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</si>
  <si>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5:00-9:10</t>
  </si>
  <si>
    <t>LLY</t>
  </si>
  <si>
    <t>LLY.US</t>
  </si>
  <si>
    <t>礼来</t>
  </si>
  <si>
    <t>Eli Lilly and Co</t>
  </si>
  <si>
    <t>Eli Lilly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</si>
  <si>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5:00-9:11</t>
  </si>
  <si>
    <t>ORCL</t>
  </si>
  <si>
    <t>ORCL.US</t>
  </si>
  <si>
    <t>甲骨文</t>
  </si>
  <si>
    <t>Oracle Corporation</t>
  </si>
  <si>
    <t>Oracle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</si>
  <si>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5:00-9:12</t>
  </si>
  <si>
    <t>V</t>
  </si>
  <si>
    <t>V.US</t>
  </si>
  <si>
    <t>Visa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</si>
  <si>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5:00-9:13</t>
  </si>
  <si>
    <t>MA</t>
  </si>
  <si>
    <t>MA.US</t>
  </si>
  <si>
    <t>万事达</t>
  </si>
  <si>
    <t>Mastercard Incorporated</t>
  </si>
  <si>
    <t>Mastercard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</si>
  <si>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5:00-9:14</t>
  </si>
  <si>
    <t>NFLX</t>
  </si>
  <si>
    <t>NFLX.US</t>
  </si>
  <si>
    <t>奈飞</t>
  </si>
  <si>
    <t>Netflix, Inc.</t>
  </si>
  <si>
    <t>Netflix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</si>
  <si>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5:00-9:15</t>
  </si>
  <si>
    <t>XOM</t>
  </si>
  <si>
    <t>XOM.US</t>
  </si>
  <si>
    <t>埃克森美孚</t>
  </si>
  <si>
    <t>Exxon Mobil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</si>
  <si>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5:00-9:16</t>
  </si>
  <si>
    <t>COST</t>
  </si>
  <si>
    <t>COST.US</t>
  </si>
  <si>
    <t>好市多</t>
  </si>
  <si>
    <t>Costco Wholesale</t>
  </si>
  <si>
    <t>Costco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</si>
  <si>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5:00-9:17</t>
  </si>
  <si>
    <t>JNJ</t>
  </si>
  <si>
    <t>JNJ.US</t>
  </si>
  <si>
    <t>强生</t>
  </si>
  <si>
    <t>Johnson &amp; Johnson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</si>
  <si>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5:00-9:18</t>
  </si>
  <si>
    <t>HD</t>
  </si>
  <si>
    <t>HD.US</t>
  </si>
  <si>
    <t>家得宝</t>
  </si>
  <si>
    <t>Home Depot Inc</t>
  </si>
  <si>
    <t>Home Depot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</si>
  <si>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5:00-9:19</t>
  </si>
  <si>
    <t>PLTR</t>
  </si>
  <si>
    <t>PLTR.US</t>
  </si>
  <si>
    <t>Palantir</t>
  </si>
  <si>
    <t>Palantir Technologies Inc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</si>
  <si>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5:00-9:20</t>
  </si>
  <si>
    <t>PG</t>
  </si>
  <si>
    <t>PG.US</t>
  </si>
  <si>
    <t>宝洁</t>
  </si>
  <si>
    <t>Procter &amp; Gamble Co</t>
  </si>
  <si>
    <t>P&amp;G (Procter &amp; Gamble)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</si>
  <si>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5:00-9:21</t>
  </si>
  <si>
    <t>BAC</t>
  </si>
  <si>
    <t>BAC.US</t>
  </si>
  <si>
    <t>美国银行</t>
  </si>
  <si>
    <t>Bank of America</t>
  </si>
  <si>
    <t>Bank of America (BoA)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</si>
  <si>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5:00-9:22</t>
  </si>
  <si>
    <t>ABBV</t>
  </si>
  <si>
    <t>ABBV.US</t>
  </si>
  <si>
    <t>艾伯维公司</t>
  </si>
  <si>
    <t>AbbVie Inc.</t>
  </si>
  <si>
    <t>AbbVie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</si>
  <si>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5:00-9:23</t>
  </si>
  <si>
    <t>CVX</t>
  </si>
  <si>
    <t>CVX.US</t>
  </si>
  <si>
    <t>雪佛龙</t>
  </si>
  <si>
    <t>Chevron Corporation</t>
  </si>
  <si>
    <t>Chevron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</si>
  <si>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5:00-9:24</t>
  </si>
  <si>
    <t>KO</t>
  </si>
  <si>
    <t>KO.US</t>
  </si>
  <si>
    <t>可口可乐</t>
  </si>
  <si>
    <t>Coca-Cola Co</t>
  </si>
  <si>
    <t>Coca-Cola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</si>
  <si>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5:00-9:25</t>
  </si>
  <si>
    <t>GE</t>
  </si>
  <si>
    <t>GE.US</t>
  </si>
  <si>
    <t>GE航天航空</t>
  </si>
  <si>
    <t>GE Aerospace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</si>
  <si>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5:00-9:26</t>
  </si>
  <si>
    <t>BABA</t>
  </si>
  <si>
    <t>BABA.US</t>
  </si>
  <si>
    <t>阿里巴巴</t>
  </si>
  <si>
    <t>Alibaba Group Holdings Ltd.</t>
  </si>
  <si>
    <t>Alibaba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</si>
  <si>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5:00-9:27</t>
  </si>
  <si>
    <t>AMD</t>
  </si>
  <si>
    <t>AMD.US</t>
  </si>
  <si>
    <t>美国超微公司</t>
  </si>
  <si>
    <t>Advanced Micro Devices Inc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</si>
  <si>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5:00-9:28</t>
  </si>
  <si>
    <t>WFC</t>
  </si>
  <si>
    <t>WFC.US</t>
  </si>
  <si>
    <t>富国银行</t>
  </si>
  <si>
    <t>Wells Fargo &amp; Company</t>
  </si>
  <si>
    <t>Wells Fargo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</si>
  <si>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5:00-9:29</t>
  </si>
  <si>
    <t>CSCO</t>
  </si>
  <si>
    <t>CSCO.US</t>
  </si>
  <si>
    <t>思科</t>
  </si>
  <si>
    <t>Cisco Systems, Inc.</t>
  </si>
  <si>
    <t>Cisco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</si>
  <si>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5:00-9:30</t>
  </si>
  <si>
    <t>CRM</t>
  </si>
  <si>
    <t>CRM.US</t>
  </si>
  <si>
    <t>赛富时</t>
  </si>
  <si>
    <t>Salesforce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</si>
  <si>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5:00-9:31</t>
  </si>
  <si>
    <t>IBM</t>
  </si>
  <si>
    <t>IBM.US</t>
  </si>
  <si>
    <t>IBM Corp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</si>
  <si>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5:00-9:32</t>
  </si>
  <si>
    <t>MS</t>
  </si>
  <si>
    <t>MS.US</t>
  </si>
  <si>
    <t>摩根士丹利</t>
  </si>
  <si>
    <t>Morgan Stanley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</si>
  <si>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5:00-9:33</t>
  </si>
  <si>
    <t>GS</t>
  </si>
  <si>
    <t>GS.US</t>
  </si>
  <si>
    <t>高盛</t>
  </si>
  <si>
    <t>Goldman Sachs Group, Inc.</t>
  </si>
  <si>
    <t>Goldman Sachs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</si>
  <si>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5:00-9:34</t>
  </si>
  <si>
    <t>DIS</t>
  </si>
  <si>
    <t>DIS.US</t>
  </si>
  <si>
    <t>迪士尼</t>
  </si>
  <si>
    <t>Walt Disney Company</t>
  </si>
  <si>
    <t>Disney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</si>
  <si>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5:00-9:35</t>
  </si>
  <si>
    <t>AXP</t>
  </si>
  <si>
    <t>AXP.US</t>
  </si>
  <si>
    <t>美国运通</t>
  </si>
  <si>
    <t>American Express Co</t>
  </si>
  <si>
    <t>American Express (Amex)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</si>
  <si>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5:00-9:36</t>
  </si>
  <si>
    <t>BX</t>
  </si>
  <si>
    <t>BX.US</t>
  </si>
  <si>
    <t>黑石</t>
  </si>
  <si>
    <t>Blackstone Inc.</t>
  </si>
  <si>
    <t>Blackstone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</si>
  <si>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5:00-9:37</t>
  </si>
  <si>
    <t>MCD</t>
  </si>
  <si>
    <t>MCD.US</t>
  </si>
  <si>
    <t>麦当劳</t>
  </si>
  <si>
    <t>McDonald's Corporation</t>
  </si>
  <si>
    <t>McDonald's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</si>
  <si>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5:00-9:38</t>
  </si>
  <si>
    <t>MRK</t>
  </si>
  <si>
    <t>MRK.US</t>
  </si>
  <si>
    <t>默沙东</t>
  </si>
  <si>
    <t>Merck &amp; Company, Inc.</t>
  </si>
  <si>
    <t>Merck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</si>
  <si>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5:00-9:39</t>
  </si>
  <si>
    <t>RTX</t>
  </si>
  <si>
    <t>RTX.US</t>
  </si>
  <si>
    <t>雷神技术</t>
  </si>
  <si>
    <t>RTX Corporation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</si>
  <si>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5:00-9:40</t>
  </si>
  <si>
    <t>PEP</t>
  </si>
  <si>
    <t>PEP.US</t>
  </si>
  <si>
    <t>百事可乐</t>
  </si>
  <si>
    <t>PepsiCo, Inc.</t>
  </si>
  <si>
    <t>PepsiCo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</si>
  <si>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5:00-9:41</t>
  </si>
  <si>
    <t>UBER</t>
  </si>
  <si>
    <t>UBER.US</t>
  </si>
  <si>
    <t>优步</t>
  </si>
  <si>
    <t>Uber Technologies, Inc.</t>
  </si>
  <si>
    <t>Uber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</si>
  <si>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5:00-9:42</t>
  </si>
  <si>
    <t>C</t>
  </si>
  <si>
    <t>C.US</t>
  </si>
  <si>
    <t>花旗集团</t>
  </si>
  <si>
    <t>Citigroup, Inc.</t>
  </si>
  <si>
    <t>Citigroup (Citi)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</si>
  <si>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5:00-9:43</t>
  </si>
  <si>
    <t>BA</t>
  </si>
  <si>
    <t>BA.US</t>
  </si>
  <si>
    <t>波音</t>
  </si>
  <si>
    <t>Boeing Co</t>
  </si>
  <si>
    <t>Boeing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</si>
  <si>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5:00-9:44</t>
  </si>
  <si>
    <t>QCOM</t>
  </si>
  <si>
    <t>QCOM.US</t>
  </si>
  <si>
    <t>高通</t>
  </si>
  <si>
    <t>Qualcomm, Inc.</t>
  </si>
  <si>
    <t>Qualcomm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</si>
  <si>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5:00-9:45</t>
  </si>
  <si>
    <t>BLK</t>
  </si>
  <si>
    <t>BLK.US</t>
  </si>
  <si>
    <t>贝莱德</t>
  </si>
  <si>
    <t>BlackRock Inc</t>
  </si>
  <si>
    <t>BlackRock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</si>
  <si>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5:00-9:46</t>
  </si>
  <si>
    <t>TXN</t>
  </si>
  <si>
    <t>TXN.US</t>
  </si>
  <si>
    <t>德州仪器</t>
  </si>
  <si>
    <t>Texas Instruments Incorporated</t>
  </si>
  <si>
    <t>Texas Instruments (TI)</t>
  </si>
  <si>
    <t>1. 盘中交易时段
夏令时（3月-11月）（GMT8时区）：每周一至周五 21:30～4:00
冬令时（11月-次年3月）（GMT8时区）：每周一至周五 22:30～5:00
2.盘前交易时段
夏令时（3月-11月）（GMT8时区）：每周一至周五 16:00-21:30
冬令时（11月-次年3月）（GMT8时区）：每周一至周五 17:00-22:30
3.盘后交易时段
夏令时（3月-11月）（GMT8时区）：每周一至周五 4:00-8:00
冬令时（11月-次年3月）（GMT8时区）：每周一至周五 5:00-9:47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</si>
</sst>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40404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2"/>
  <sheetViews>
    <sheetView tabSelected="1" zoomScale="66" zoomScaleNormal="66" workbookViewId="0">
      <selection activeCell="H17" sqref="H17"/>
    </sheetView>
  </sheetViews>
  <sheetFormatPr defaultColWidth="9.23076923076923" defaultRowHeight="16.8"/>
  <cols>
    <col min="1" max="1" width="11.5288461538462" customWidth="1"/>
    <col min="2" max="2" width="24.5096153846154" customWidth="1"/>
    <col min="3" max="3" width="20.5" customWidth="1"/>
    <col min="4" max="5" width="34.3653846153846" customWidth="1"/>
    <col min="6" max="6" width="31.6057692307692" customWidth="1"/>
    <col min="7" max="7" width="40.5384615384615" customWidth="1"/>
    <col min="8" max="12" width="18.1057692307692" customWidth="1"/>
    <col min="13" max="13" width="17.9423076923077" customWidth="1"/>
    <col min="14" max="15" width="19.0673076923077" customWidth="1"/>
    <col min="16" max="16" width="13.2307692307692" customWidth="1"/>
    <col min="17" max="17" width="18.4615384615385" style="1" customWidth="1"/>
    <col min="18" max="18" width="15.1538461538462" customWidth="1"/>
    <col min="19" max="19" width="99.0480769230769" customWidth="1"/>
  </cols>
  <sheetData>
    <row r="1" ht="29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</row>
    <row r="2" ht="17" spans="1:19">
      <c r="A2">
        <v>1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>
        <v>0.01</v>
      </c>
      <c r="K2">
        <v>30</v>
      </c>
      <c r="L2">
        <v>30</v>
      </c>
      <c r="M2">
        <f>K2*J2+L2*J2</f>
        <v>0.6</v>
      </c>
      <c r="N2">
        <v>1</v>
      </c>
      <c r="O2">
        <v>0.5</v>
      </c>
      <c r="P2">
        <v>200</v>
      </c>
      <c r="Q2" s="1">
        <f>0.5/P2</f>
        <v>0.0025</v>
      </c>
      <c r="R2" s="4">
        <v>0.5</v>
      </c>
      <c r="S2" s="5" t="s">
        <v>25</v>
      </c>
    </row>
    <row r="3" ht="17" spans="1:19">
      <c r="A3">
        <v>2</v>
      </c>
      <c r="B3" t="s">
        <v>19</v>
      </c>
      <c r="C3" t="s">
        <v>26</v>
      </c>
      <c r="D3" t="s">
        <v>26</v>
      </c>
      <c r="E3" t="s">
        <v>27</v>
      </c>
      <c r="F3" t="s">
        <v>28</v>
      </c>
      <c r="G3" t="s">
        <v>29</v>
      </c>
      <c r="H3" t="s">
        <v>24</v>
      </c>
      <c r="I3" t="s">
        <v>24</v>
      </c>
      <c r="J3">
        <v>0.1</v>
      </c>
      <c r="K3">
        <v>10</v>
      </c>
      <c r="L3">
        <v>10</v>
      </c>
      <c r="M3">
        <f>K3*J3+L3*J3</f>
        <v>2</v>
      </c>
      <c r="N3">
        <v>1</v>
      </c>
      <c r="O3">
        <v>0.5</v>
      </c>
      <c r="P3">
        <v>200</v>
      </c>
      <c r="Q3" s="1">
        <f t="shared" ref="Q3:Q18" si="0">0.5/P3</f>
        <v>0.0025</v>
      </c>
      <c r="R3" s="4">
        <v>0.5</v>
      </c>
      <c r="S3" s="5" t="s">
        <v>30</v>
      </c>
    </row>
    <row r="4" ht="17" spans="1:19">
      <c r="A4">
        <v>3</v>
      </c>
      <c r="B4" t="s">
        <v>19</v>
      </c>
      <c r="C4" t="s">
        <v>31</v>
      </c>
      <c r="D4" s="5" t="s">
        <v>31</v>
      </c>
      <c r="E4" t="s">
        <v>32</v>
      </c>
      <c r="F4" t="s">
        <v>33</v>
      </c>
      <c r="G4" t="s">
        <v>34</v>
      </c>
      <c r="H4" t="s">
        <v>24</v>
      </c>
      <c r="I4" t="s">
        <v>24</v>
      </c>
      <c r="J4">
        <v>0.1</v>
      </c>
      <c r="K4">
        <v>20</v>
      </c>
      <c r="L4">
        <v>20</v>
      </c>
      <c r="M4">
        <f>K4*J4+L4*J4</f>
        <v>4</v>
      </c>
      <c r="N4">
        <v>1</v>
      </c>
      <c r="O4">
        <v>0.5</v>
      </c>
      <c r="P4">
        <v>200</v>
      </c>
      <c r="Q4" s="1">
        <f t="shared" si="0"/>
        <v>0.0025</v>
      </c>
      <c r="R4" s="4">
        <v>0.5</v>
      </c>
      <c r="S4" s="5" t="s">
        <v>30</v>
      </c>
    </row>
    <row r="5" spans="1:19">
      <c r="A5">
        <v>4</v>
      </c>
      <c r="B5" t="s">
        <v>19</v>
      </c>
      <c r="C5" s="6" t="s">
        <v>35</v>
      </c>
      <c r="D5" s="6" t="s">
        <v>35</v>
      </c>
      <c r="E5" t="s">
        <v>36</v>
      </c>
      <c r="F5" t="s">
        <v>37</v>
      </c>
      <c r="G5" t="s">
        <v>38</v>
      </c>
      <c r="H5" t="s">
        <v>24</v>
      </c>
      <c r="I5" t="s">
        <v>24</v>
      </c>
      <c r="J5">
        <v>0.01</v>
      </c>
      <c r="K5">
        <v>100</v>
      </c>
      <c r="L5">
        <v>100</v>
      </c>
      <c r="M5">
        <f t="shared" ref="M5:M18" si="1">K5*J5+L5*J5</f>
        <v>2</v>
      </c>
      <c r="N5">
        <v>10</v>
      </c>
      <c r="O5">
        <v>0.5</v>
      </c>
      <c r="P5">
        <v>200</v>
      </c>
      <c r="Q5" s="1">
        <f t="shared" si="0"/>
        <v>0.0025</v>
      </c>
      <c r="R5" s="4">
        <v>0.5</v>
      </c>
      <c r="S5" t="s">
        <v>39</v>
      </c>
    </row>
    <row r="6" ht="17" spans="1:19">
      <c r="A6">
        <v>5</v>
      </c>
      <c r="B6" t="s">
        <v>19</v>
      </c>
      <c r="C6" s="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24</v>
      </c>
      <c r="J6">
        <v>0.01</v>
      </c>
      <c r="K6">
        <v>100</v>
      </c>
      <c r="L6">
        <v>100</v>
      </c>
      <c r="M6">
        <f t="shared" si="1"/>
        <v>2</v>
      </c>
      <c r="N6">
        <v>1</v>
      </c>
      <c r="O6">
        <v>0.5</v>
      </c>
      <c r="P6">
        <v>200</v>
      </c>
      <c r="Q6" s="1">
        <f t="shared" si="0"/>
        <v>0.0025</v>
      </c>
      <c r="R6" s="4">
        <v>0.5</v>
      </c>
      <c r="S6" s="5" t="s">
        <v>46</v>
      </c>
    </row>
    <row r="7" spans="1:19">
      <c r="A7">
        <v>6</v>
      </c>
      <c r="B7" t="s">
        <v>19</v>
      </c>
      <c r="C7" s="6" t="s">
        <v>47</v>
      </c>
      <c r="D7" s="6" t="s">
        <v>47</v>
      </c>
      <c r="E7" t="s">
        <v>48</v>
      </c>
      <c r="F7" t="s">
        <v>49</v>
      </c>
      <c r="G7" t="s">
        <v>50</v>
      </c>
      <c r="H7" t="s">
        <v>24</v>
      </c>
      <c r="I7" t="s">
        <v>24</v>
      </c>
      <c r="J7">
        <v>0.01</v>
      </c>
      <c r="K7">
        <v>100</v>
      </c>
      <c r="L7">
        <v>100</v>
      </c>
      <c r="M7">
        <f t="shared" si="1"/>
        <v>2</v>
      </c>
      <c r="N7">
        <v>1</v>
      </c>
      <c r="O7">
        <v>0.5</v>
      </c>
      <c r="P7">
        <v>200</v>
      </c>
      <c r="Q7" s="1">
        <f t="shared" si="0"/>
        <v>0.0025</v>
      </c>
      <c r="R7" s="4">
        <v>0.5</v>
      </c>
      <c r="S7" t="s">
        <v>51</v>
      </c>
    </row>
    <row r="8" spans="1:19">
      <c r="A8">
        <v>7</v>
      </c>
      <c r="B8" t="s">
        <v>19</v>
      </c>
      <c r="C8" s="6" t="s">
        <v>52</v>
      </c>
      <c r="D8" s="6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24</v>
      </c>
      <c r="J8">
        <v>0.01</v>
      </c>
      <c r="K8">
        <v>100</v>
      </c>
      <c r="L8">
        <v>100</v>
      </c>
      <c r="M8">
        <f t="shared" si="1"/>
        <v>2</v>
      </c>
      <c r="N8">
        <v>1</v>
      </c>
      <c r="O8">
        <v>0.5</v>
      </c>
      <c r="P8">
        <v>200</v>
      </c>
      <c r="Q8" s="1">
        <f t="shared" si="0"/>
        <v>0.0025</v>
      </c>
      <c r="R8" s="4">
        <v>0.5</v>
      </c>
      <c r="S8" t="s">
        <v>57</v>
      </c>
    </row>
    <row r="9" ht="17" spans="1:19">
      <c r="A9">
        <v>8</v>
      </c>
      <c r="B9" t="s">
        <v>19</v>
      </c>
      <c r="C9" s="6" t="s">
        <v>58</v>
      </c>
      <c r="D9" s="6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24</v>
      </c>
      <c r="J9">
        <v>0.01</v>
      </c>
      <c r="K9">
        <v>100</v>
      </c>
      <c r="L9">
        <v>100</v>
      </c>
      <c r="M9">
        <f t="shared" si="1"/>
        <v>2</v>
      </c>
      <c r="N9">
        <v>1</v>
      </c>
      <c r="O9">
        <v>0.5</v>
      </c>
      <c r="P9">
        <v>200</v>
      </c>
      <c r="Q9" s="1">
        <f t="shared" si="0"/>
        <v>0.0025</v>
      </c>
      <c r="R9" s="4">
        <v>0.5</v>
      </c>
      <c r="S9" s="5" t="s">
        <v>30</v>
      </c>
    </row>
    <row r="10" spans="1:19">
      <c r="A10">
        <v>9</v>
      </c>
      <c r="B10" t="s">
        <v>19</v>
      </c>
      <c r="C10" s="6" t="s">
        <v>63</v>
      </c>
      <c r="D10" s="6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24</v>
      </c>
      <c r="J10">
        <v>0.01</v>
      </c>
      <c r="K10">
        <v>100</v>
      </c>
      <c r="L10">
        <v>100</v>
      </c>
      <c r="M10">
        <f t="shared" si="1"/>
        <v>2</v>
      </c>
      <c r="N10">
        <v>1</v>
      </c>
      <c r="O10">
        <v>0.5</v>
      </c>
      <c r="P10">
        <v>200</v>
      </c>
      <c r="Q10" s="1">
        <f t="shared" si="0"/>
        <v>0.0025</v>
      </c>
      <c r="R10" s="4">
        <v>0.5</v>
      </c>
      <c r="S10" t="s">
        <v>68</v>
      </c>
    </row>
    <row r="11" ht="17" spans="1:19">
      <c r="A11">
        <v>10</v>
      </c>
      <c r="B11" t="s">
        <v>19</v>
      </c>
      <c r="C11" s="6" t="s">
        <v>69</v>
      </c>
      <c r="D11" s="6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24</v>
      </c>
      <c r="J11">
        <v>0.01</v>
      </c>
      <c r="K11">
        <v>100</v>
      </c>
      <c r="L11">
        <v>100</v>
      </c>
      <c r="M11">
        <f t="shared" si="1"/>
        <v>2</v>
      </c>
      <c r="N11">
        <v>1</v>
      </c>
      <c r="O11">
        <v>0.5</v>
      </c>
      <c r="P11">
        <v>200</v>
      </c>
      <c r="Q11" s="1">
        <f t="shared" si="0"/>
        <v>0.0025</v>
      </c>
      <c r="R11" s="4">
        <v>0.5</v>
      </c>
      <c r="S11" s="5" t="s">
        <v>74</v>
      </c>
    </row>
    <row r="12" ht="17" spans="1:19">
      <c r="A12">
        <v>11</v>
      </c>
      <c r="B12" t="s">
        <v>19</v>
      </c>
      <c r="C12" s="6" t="s">
        <v>75</v>
      </c>
      <c r="D12" s="6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24</v>
      </c>
      <c r="J12">
        <v>0.1</v>
      </c>
      <c r="K12">
        <v>30</v>
      </c>
      <c r="L12">
        <v>30</v>
      </c>
      <c r="M12">
        <f t="shared" si="1"/>
        <v>6</v>
      </c>
      <c r="N12">
        <v>1</v>
      </c>
      <c r="O12">
        <v>0.5</v>
      </c>
      <c r="P12">
        <v>200</v>
      </c>
      <c r="Q12" s="1">
        <f t="shared" si="0"/>
        <v>0.0025</v>
      </c>
      <c r="R12" s="4">
        <v>0.5</v>
      </c>
      <c r="S12" s="5" t="s">
        <v>80</v>
      </c>
    </row>
    <row r="13" ht="17" spans="1:19">
      <c r="A13">
        <v>12</v>
      </c>
      <c r="B13" t="s">
        <v>19</v>
      </c>
      <c r="C13" s="6" t="s">
        <v>81</v>
      </c>
      <c r="D13" s="6" t="s">
        <v>81</v>
      </c>
      <c r="E13" t="s">
        <v>82</v>
      </c>
      <c r="F13" t="s">
        <v>83</v>
      </c>
      <c r="G13" t="s">
        <v>84</v>
      </c>
      <c r="H13" t="s">
        <v>73</v>
      </c>
      <c r="I13" t="s">
        <v>24</v>
      </c>
      <c r="J13">
        <v>0.1</v>
      </c>
      <c r="K13">
        <v>20</v>
      </c>
      <c r="L13">
        <v>20</v>
      </c>
      <c r="M13">
        <f t="shared" si="1"/>
        <v>4</v>
      </c>
      <c r="N13">
        <v>1</v>
      </c>
      <c r="O13">
        <v>0.5</v>
      </c>
      <c r="P13">
        <v>200</v>
      </c>
      <c r="Q13" s="1">
        <f t="shared" si="0"/>
        <v>0.0025</v>
      </c>
      <c r="R13" s="4">
        <v>0.5</v>
      </c>
      <c r="S13" s="5" t="s">
        <v>85</v>
      </c>
    </row>
    <row r="14" spans="1:19">
      <c r="A14">
        <v>13</v>
      </c>
      <c r="B14" t="s">
        <v>19</v>
      </c>
      <c r="C14" t="s">
        <v>86</v>
      </c>
      <c r="D14" t="s">
        <v>86</v>
      </c>
      <c r="E14" t="s">
        <v>87</v>
      </c>
      <c r="F14" t="s">
        <v>86</v>
      </c>
      <c r="G14" t="s">
        <v>88</v>
      </c>
      <c r="H14" t="s">
        <v>73</v>
      </c>
      <c r="I14" t="s">
        <v>24</v>
      </c>
      <c r="J14">
        <v>1</v>
      </c>
      <c r="K14">
        <v>2</v>
      </c>
      <c r="L14">
        <v>2</v>
      </c>
      <c r="M14">
        <f t="shared" si="1"/>
        <v>4</v>
      </c>
      <c r="N14">
        <v>1</v>
      </c>
      <c r="O14">
        <v>0.5</v>
      </c>
      <c r="P14">
        <v>200</v>
      </c>
      <c r="Q14" s="1">
        <f t="shared" si="0"/>
        <v>0.0025</v>
      </c>
      <c r="R14" s="4">
        <v>0.5</v>
      </c>
      <c r="S14" t="s">
        <v>89</v>
      </c>
    </row>
    <row r="15" ht="17" spans="1:19">
      <c r="A15">
        <v>14</v>
      </c>
      <c r="B15" t="s">
        <v>19</v>
      </c>
      <c r="C15" s="7" t="s">
        <v>90</v>
      </c>
      <c r="D15" s="7" t="s">
        <v>90</v>
      </c>
      <c r="E15" t="s">
        <v>91</v>
      </c>
      <c r="F15" s="7" t="s">
        <v>90</v>
      </c>
      <c r="G15" t="s">
        <v>92</v>
      </c>
      <c r="H15" t="s">
        <v>73</v>
      </c>
      <c r="I15" t="s">
        <v>24</v>
      </c>
      <c r="J15">
        <v>0.01</v>
      </c>
      <c r="K15">
        <v>30</v>
      </c>
      <c r="L15">
        <v>30</v>
      </c>
      <c r="M15">
        <f t="shared" si="1"/>
        <v>0.6</v>
      </c>
      <c r="N15">
        <v>1</v>
      </c>
      <c r="O15">
        <v>0.5</v>
      </c>
      <c r="P15">
        <v>200</v>
      </c>
      <c r="Q15" s="1">
        <f t="shared" si="0"/>
        <v>0.0025</v>
      </c>
      <c r="R15" s="4">
        <v>0.5</v>
      </c>
      <c r="S15" t="s">
        <v>93</v>
      </c>
    </row>
    <row r="16" ht="34" spans="1:19">
      <c r="A16">
        <v>15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98</v>
      </c>
      <c r="H16" t="s">
        <v>24</v>
      </c>
      <c r="I16" t="s">
        <v>24</v>
      </c>
      <c r="J16">
        <v>0.01</v>
      </c>
      <c r="K16">
        <v>10</v>
      </c>
      <c r="L16">
        <v>10</v>
      </c>
      <c r="M16">
        <f t="shared" ref="M16:M43" si="2">K16*J16+L16*J16</f>
        <v>0.2</v>
      </c>
      <c r="N16">
        <v>100</v>
      </c>
      <c r="O16">
        <v>0.5</v>
      </c>
      <c r="P16">
        <v>200</v>
      </c>
      <c r="Q16" s="1">
        <f t="shared" ref="Q16:Q42" si="3">0.5/P16</f>
        <v>0.0025</v>
      </c>
      <c r="R16" s="4">
        <v>0.5</v>
      </c>
      <c r="S16" s="5" t="s">
        <v>99</v>
      </c>
    </row>
    <row r="17" ht="34" spans="1:21">
      <c r="A17">
        <v>16</v>
      </c>
      <c r="B17" t="s">
        <v>94</v>
      </c>
      <c r="C17" t="s">
        <v>100</v>
      </c>
      <c r="D17" t="s">
        <v>101</v>
      </c>
      <c r="E17" t="s">
        <v>102</v>
      </c>
      <c r="F17" t="s">
        <v>101</v>
      </c>
      <c r="G17" t="s">
        <v>103</v>
      </c>
      <c r="H17" t="s">
        <v>24</v>
      </c>
      <c r="I17" t="s">
        <v>24</v>
      </c>
      <c r="J17">
        <v>0.001</v>
      </c>
      <c r="K17">
        <v>10</v>
      </c>
      <c r="L17">
        <v>10</v>
      </c>
      <c r="M17">
        <f t="shared" si="2"/>
        <v>0.02</v>
      </c>
      <c r="N17">
        <v>5000</v>
      </c>
      <c r="O17">
        <v>0.5</v>
      </c>
      <c r="P17">
        <v>200</v>
      </c>
      <c r="Q17" s="1">
        <f t="shared" si="3"/>
        <v>0.0025</v>
      </c>
      <c r="R17" s="4">
        <v>0.5</v>
      </c>
      <c r="S17" s="5" t="s">
        <v>104</v>
      </c>
    </row>
    <row r="18" ht="34" spans="1:21">
      <c r="A18">
        <v>17</v>
      </c>
      <c r="B18" t="s">
        <v>94</v>
      </c>
      <c r="C18" t="s">
        <v>105</v>
      </c>
      <c r="D18" t="s">
        <v>106</v>
      </c>
      <c r="E18" t="s">
        <v>107</v>
      </c>
      <c r="F18" t="s">
        <v>106</v>
      </c>
      <c r="G18" t="s">
        <v>108</v>
      </c>
      <c r="H18" t="s">
        <v>24</v>
      </c>
      <c r="I18" t="s">
        <v>24</v>
      </c>
      <c r="J18">
        <v>0.1</v>
      </c>
      <c r="K18">
        <v>20</v>
      </c>
      <c r="L18">
        <v>20</v>
      </c>
      <c r="M18">
        <f t="shared" si="2"/>
        <v>4</v>
      </c>
      <c r="N18">
        <v>25</v>
      </c>
      <c r="O18">
        <v>0.5</v>
      </c>
      <c r="P18">
        <v>200</v>
      </c>
      <c r="Q18" s="1">
        <f t="shared" si="3"/>
        <v>0.0025</v>
      </c>
      <c r="R18" s="4">
        <v>0.5</v>
      </c>
      <c r="S18" s="5" t="s">
        <v>109</v>
      </c>
    </row>
    <row r="19" ht="34" spans="1:21">
      <c r="A19">
        <v>18</v>
      </c>
      <c r="B19" t="s">
        <v>94</v>
      </c>
      <c r="C19" t="s">
        <v>110</v>
      </c>
      <c r="D19" t="s">
        <v>111</v>
      </c>
      <c r="E19" t="s">
        <v>112</v>
      </c>
      <c r="F19" t="s">
        <v>111</v>
      </c>
      <c r="G19" t="s">
        <v>113</v>
      </c>
      <c r="H19" t="s">
        <v>24</v>
      </c>
      <c r="I19" t="s">
        <v>24</v>
      </c>
      <c r="J19">
        <v>0.1</v>
      </c>
      <c r="K19">
        <v>20</v>
      </c>
      <c r="L19">
        <v>20</v>
      </c>
      <c r="M19">
        <f t="shared" si="2"/>
        <v>4</v>
      </c>
      <c r="N19">
        <v>25</v>
      </c>
      <c r="O19">
        <v>0.5</v>
      </c>
      <c r="P19">
        <v>200</v>
      </c>
      <c r="Q19" s="1">
        <f t="shared" si="3"/>
        <v>0.0025</v>
      </c>
      <c r="R19" s="4">
        <v>0.5</v>
      </c>
      <c r="S19" s="5" t="s">
        <v>109</v>
      </c>
    </row>
    <row r="20" ht="34" spans="1:21">
      <c r="A20">
        <v>19</v>
      </c>
      <c r="B20" t="s">
        <v>94</v>
      </c>
      <c r="C20" t="s">
        <v>114</v>
      </c>
      <c r="D20" t="s">
        <v>115</v>
      </c>
      <c r="E20" t="s">
        <v>116</v>
      </c>
      <c r="F20" t="s">
        <v>115</v>
      </c>
      <c r="G20" t="s">
        <v>117</v>
      </c>
      <c r="H20" t="s">
        <v>24</v>
      </c>
      <c r="I20" t="s">
        <v>24</v>
      </c>
      <c r="J20">
        <v>0.01</v>
      </c>
      <c r="K20">
        <v>2</v>
      </c>
      <c r="L20">
        <v>2</v>
      </c>
      <c r="M20">
        <f t="shared" si="2"/>
        <v>0.04</v>
      </c>
      <c r="N20">
        <v>1000</v>
      </c>
      <c r="O20">
        <v>0.5</v>
      </c>
      <c r="P20">
        <v>200</v>
      </c>
      <c r="Q20" s="1">
        <f t="shared" si="3"/>
        <v>0.0025</v>
      </c>
      <c r="R20" s="4">
        <v>0.5</v>
      </c>
      <c r="S20" s="5" t="s">
        <v>118</v>
      </c>
    </row>
    <row r="21" ht="34" spans="1:21">
      <c r="A21">
        <v>20</v>
      </c>
      <c r="B21" t="s">
        <v>94</v>
      </c>
      <c r="C21" t="s">
        <v>119</v>
      </c>
      <c r="D21" t="s">
        <v>120</v>
      </c>
      <c r="E21" t="s">
        <v>121</v>
      </c>
      <c r="F21" t="s">
        <v>120</v>
      </c>
      <c r="G21" t="s">
        <v>122</v>
      </c>
      <c r="H21" t="s">
        <v>24</v>
      </c>
      <c r="I21" t="s">
        <v>24</v>
      </c>
      <c r="J21">
        <v>0.01</v>
      </c>
      <c r="K21">
        <v>2</v>
      </c>
      <c r="L21">
        <v>2</v>
      </c>
      <c r="M21">
        <f t="shared" si="2"/>
        <v>0.04</v>
      </c>
      <c r="N21">
        <v>1000</v>
      </c>
      <c r="O21">
        <v>0.5</v>
      </c>
      <c r="P21">
        <v>200</v>
      </c>
      <c r="Q21" s="1">
        <f t="shared" si="3"/>
        <v>0.0025</v>
      </c>
      <c r="R21" s="4">
        <v>0.5</v>
      </c>
      <c r="S21" s="5" t="s">
        <v>123</v>
      </c>
    </row>
    <row r="22" ht="34" spans="1:21">
      <c r="A22">
        <v>21</v>
      </c>
      <c r="B22" t="s">
        <v>94</v>
      </c>
      <c r="C22" t="s">
        <v>124</v>
      </c>
      <c r="D22" t="s">
        <v>125</v>
      </c>
      <c r="E22" t="s">
        <v>126</v>
      </c>
      <c r="F22" t="s">
        <v>125</v>
      </c>
      <c r="G22" t="s">
        <v>127</v>
      </c>
      <c r="H22" t="s">
        <v>24</v>
      </c>
      <c r="I22" t="s">
        <v>24</v>
      </c>
      <c r="J22">
        <v>0.001</v>
      </c>
      <c r="K22">
        <v>6</v>
      </c>
      <c r="L22">
        <v>6</v>
      </c>
      <c r="M22">
        <f t="shared" si="2"/>
        <v>0.012</v>
      </c>
      <c r="N22">
        <v>10000</v>
      </c>
      <c r="O22">
        <v>0.5</v>
      </c>
      <c r="P22">
        <v>200</v>
      </c>
      <c r="Q22" s="1">
        <f t="shared" si="3"/>
        <v>0.0025</v>
      </c>
      <c r="R22" s="4">
        <v>0.5</v>
      </c>
      <c r="S22" s="5" t="s">
        <v>128</v>
      </c>
    </row>
    <row r="23" spans="1:21">
      <c r="A23">
        <v>22</v>
      </c>
      <c r="B23" t="s">
        <v>129</v>
      </c>
      <c r="C23" t="s">
        <v>130</v>
      </c>
      <c r="D23" t="s">
        <v>131</v>
      </c>
      <c r="E23" t="s">
        <v>132</v>
      </c>
      <c r="F23" t="s">
        <v>133</v>
      </c>
      <c r="G23" t="s">
        <v>133</v>
      </c>
      <c r="H23" t="s">
        <v>24</v>
      </c>
      <c r="I23" t="s">
        <v>24</v>
      </c>
      <c r="J23">
        <v>0.01</v>
      </c>
      <c r="K23">
        <v>100</v>
      </c>
      <c r="L23">
        <v>100</v>
      </c>
      <c r="M23">
        <f t="shared" si="2"/>
        <v>2</v>
      </c>
      <c r="N23">
        <v>1</v>
      </c>
      <c r="O23">
        <v>0.5</v>
      </c>
      <c r="P23">
        <v>200</v>
      </c>
      <c r="Q23" s="1">
        <f t="shared" si="3"/>
        <v>0.0025</v>
      </c>
      <c r="R23" s="4">
        <v>0.5</v>
      </c>
      <c r="S23" s="8" t="s">
        <v>134</v>
      </c>
      <c r="T23" s="9"/>
      <c r="U23" s="9"/>
    </row>
    <row r="24" spans="1:21">
      <c r="A24">
        <v>23</v>
      </c>
      <c r="B24" t="s">
        <v>129</v>
      </c>
      <c r="C24" t="s">
        <v>135</v>
      </c>
      <c r="D24" t="s">
        <v>136</v>
      </c>
      <c r="E24" t="s">
        <v>137</v>
      </c>
      <c r="F24" t="s">
        <v>138</v>
      </c>
      <c r="G24" t="s">
        <v>138</v>
      </c>
      <c r="H24" t="s">
        <v>24</v>
      </c>
      <c r="I24" t="s">
        <v>24</v>
      </c>
      <c r="J24">
        <v>0.01</v>
      </c>
      <c r="K24">
        <v>100</v>
      </c>
      <c r="L24">
        <v>100</v>
      </c>
      <c r="M24">
        <f t="shared" si="2"/>
        <v>2</v>
      </c>
      <c r="N24">
        <v>1</v>
      </c>
      <c r="O24">
        <v>0.5</v>
      </c>
      <c r="P24">
        <v>200</v>
      </c>
      <c r="Q24" s="1">
        <f t="shared" si="3"/>
        <v>0.0025</v>
      </c>
      <c r="R24" s="4">
        <v>0.5</v>
      </c>
      <c r="S24" s="8" t="s">
        <v>134</v>
      </c>
      <c r="T24" s="9"/>
      <c r="U24" s="9"/>
    </row>
    <row r="25" spans="1:21">
      <c r="A25">
        <v>24</v>
      </c>
      <c r="B25" t="s">
        <v>129</v>
      </c>
      <c r="C25" t="s">
        <v>139</v>
      </c>
      <c r="D25" t="s">
        <v>140</v>
      </c>
      <c r="E25" t="s">
        <v>141</v>
      </c>
      <c r="F25" t="s">
        <v>139</v>
      </c>
      <c r="G25" t="s">
        <v>139</v>
      </c>
      <c r="H25" t="s">
        <v>24</v>
      </c>
      <c r="I25" t="s">
        <v>24</v>
      </c>
      <c r="J25">
        <v>0.0001</v>
      </c>
      <c r="K25">
        <v>100</v>
      </c>
      <c r="L25">
        <v>100</v>
      </c>
      <c r="M25">
        <f t="shared" si="2"/>
        <v>0.02</v>
      </c>
      <c r="N25">
        <v>100</v>
      </c>
      <c r="O25">
        <v>0.5</v>
      </c>
      <c r="P25">
        <v>100</v>
      </c>
      <c r="Q25" s="1">
        <f t="shared" si="3"/>
        <v>0.005</v>
      </c>
      <c r="R25" s="4">
        <v>0.5</v>
      </c>
      <c r="S25" s="8" t="s">
        <v>142</v>
      </c>
      <c r="T25" s="9"/>
      <c r="U25" s="9"/>
    </row>
    <row r="26" spans="1:21">
      <c r="A26">
        <v>25</v>
      </c>
      <c r="B26" t="s">
        <v>129</v>
      </c>
      <c r="C26" s="6" t="s">
        <v>143</v>
      </c>
      <c r="D26" s="6" t="s">
        <v>144</v>
      </c>
      <c r="E26" t="s">
        <v>145</v>
      </c>
      <c r="F26" t="s">
        <v>143</v>
      </c>
      <c r="G26" t="s">
        <v>143</v>
      </c>
      <c r="H26" t="s">
        <v>24</v>
      </c>
      <c r="I26" t="s">
        <v>24</v>
      </c>
      <c r="J26">
        <v>0.01</v>
      </c>
      <c r="K26">
        <v>50</v>
      </c>
      <c r="L26">
        <v>50</v>
      </c>
      <c r="M26">
        <f t="shared" si="2"/>
        <v>1</v>
      </c>
      <c r="N26">
        <v>1</v>
      </c>
      <c r="O26">
        <v>0.5</v>
      </c>
      <c r="P26">
        <v>100</v>
      </c>
      <c r="Q26" s="1">
        <f t="shared" si="3"/>
        <v>0.005</v>
      </c>
      <c r="R26" s="4">
        <v>0.5</v>
      </c>
      <c r="S26" s="8" t="s">
        <v>146</v>
      </c>
      <c r="T26" s="9"/>
      <c r="U26" s="9"/>
    </row>
    <row r="27" spans="1:21">
      <c r="A27">
        <v>26</v>
      </c>
      <c r="B27" t="s">
        <v>129</v>
      </c>
      <c r="C27" t="s">
        <v>147</v>
      </c>
      <c r="D27" t="s">
        <v>148</v>
      </c>
      <c r="E27" t="s">
        <v>149</v>
      </c>
      <c r="F27" t="s">
        <v>149</v>
      </c>
      <c r="G27" t="s">
        <v>149</v>
      </c>
      <c r="H27" t="s">
        <v>24</v>
      </c>
      <c r="I27" t="s">
        <v>24</v>
      </c>
      <c r="J27">
        <v>0.01</v>
      </c>
      <c r="K27">
        <v>50</v>
      </c>
      <c r="L27">
        <v>50</v>
      </c>
      <c r="M27">
        <f t="shared" si="2"/>
        <v>1</v>
      </c>
      <c r="N27">
        <v>1</v>
      </c>
      <c r="O27">
        <v>0.5</v>
      </c>
      <c r="P27">
        <v>100</v>
      </c>
      <c r="Q27" s="1">
        <f t="shared" si="3"/>
        <v>0.005</v>
      </c>
      <c r="R27" s="4">
        <v>0.5</v>
      </c>
      <c r="S27" s="8" t="s">
        <v>150</v>
      </c>
      <c r="T27" s="9"/>
      <c r="U27" s="9"/>
    </row>
    <row r="28" spans="1:21">
      <c r="A28">
        <v>27</v>
      </c>
      <c r="B28" t="s">
        <v>129</v>
      </c>
      <c r="C28" t="s">
        <v>151</v>
      </c>
      <c r="D28" t="s">
        <v>152</v>
      </c>
      <c r="E28" t="s">
        <v>153</v>
      </c>
      <c r="F28" t="s">
        <v>154</v>
      </c>
      <c r="G28" t="s">
        <v>154</v>
      </c>
      <c r="H28" t="s">
        <v>24</v>
      </c>
      <c r="I28" t="s">
        <v>24</v>
      </c>
      <c r="J28">
        <v>1e-5</v>
      </c>
      <c r="K28">
        <v>20</v>
      </c>
      <c r="L28">
        <v>20</v>
      </c>
      <c r="M28">
        <f t="shared" si="2"/>
        <v>0.0004</v>
      </c>
      <c r="N28">
        <v>100</v>
      </c>
      <c r="O28">
        <v>0.5</v>
      </c>
      <c r="P28">
        <v>100</v>
      </c>
      <c r="Q28" s="1">
        <f t="shared" si="3"/>
        <v>0.005</v>
      </c>
      <c r="R28" s="4">
        <v>0.5</v>
      </c>
      <c r="S28" s="8" t="s">
        <v>155</v>
      </c>
      <c r="T28" s="9"/>
      <c r="U28" s="9"/>
    </row>
    <row r="29" spans="1:21">
      <c r="A29">
        <v>28</v>
      </c>
      <c r="B29" t="s">
        <v>129</v>
      </c>
      <c r="C29" s="6" t="s">
        <v>156</v>
      </c>
      <c r="D29" s="6" t="s">
        <v>157</v>
      </c>
      <c r="E29" t="s">
        <v>158</v>
      </c>
      <c r="F29" t="s">
        <v>159</v>
      </c>
      <c r="G29" t="s">
        <v>159</v>
      </c>
      <c r="H29" t="s">
        <v>24</v>
      </c>
      <c r="I29" t="s">
        <v>24</v>
      </c>
      <c r="J29">
        <v>0.01</v>
      </c>
      <c r="K29">
        <v>50</v>
      </c>
      <c r="L29">
        <v>50</v>
      </c>
      <c r="M29">
        <f t="shared" si="2"/>
        <v>1</v>
      </c>
      <c r="N29">
        <v>100</v>
      </c>
      <c r="O29">
        <v>0.5</v>
      </c>
      <c r="P29">
        <v>100</v>
      </c>
      <c r="Q29" s="1">
        <f t="shared" si="3"/>
        <v>0.005</v>
      </c>
      <c r="R29" s="4">
        <v>0.5</v>
      </c>
      <c r="S29" s="8" t="s">
        <v>160</v>
      </c>
    </row>
    <row r="30" spans="1:21">
      <c r="A30">
        <v>29</v>
      </c>
      <c r="B30" t="s">
        <v>129</v>
      </c>
      <c r="C30" t="s">
        <v>161</v>
      </c>
      <c r="D30" t="s">
        <v>162</v>
      </c>
      <c r="E30" t="s">
        <v>163</v>
      </c>
      <c r="F30" t="s">
        <v>164</v>
      </c>
      <c r="G30" t="s">
        <v>164</v>
      </c>
      <c r="H30" t="s">
        <v>24</v>
      </c>
      <c r="I30" t="s">
        <v>24</v>
      </c>
      <c r="J30">
        <v>0.001</v>
      </c>
      <c r="K30">
        <v>5</v>
      </c>
      <c r="L30">
        <v>5</v>
      </c>
      <c r="M30">
        <f t="shared" si="2"/>
        <v>0.01</v>
      </c>
      <c r="N30">
        <v>100</v>
      </c>
      <c r="O30">
        <v>0.5</v>
      </c>
      <c r="P30">
        <v>100</v>
      </c>
      <c r="Q30" s="1">
        <f t="shared" si="3"/>
        <v>0.005</v>
      </c>
      <c r="R30" s="4">
        <v>0.5</v>
      </c>
      <c r="S30" s="8" t="s">
        <v>165</v>
      </c>
    </row>
    <row r="31" spans="1:21">
      <c r="A31">
        <v>30</v>
      </c>
      <c r="B31" t="s">
        <v>129</v>
      </c>
      <c r="C31" t="s">
        <v>166</v>
      </c>
      <c r="D31" t="s">
        <v>167</v>
      </c>
      <c r="E31" t="s">
        <v>168</v>
      </c>
      <c r="F31" t="s">
        <v>169</v>
      </c>
      <c r="G31" t="s">
        <v>170</v>
      </c>
      <c r="H31" t="s">
        <v>24</v>
      </c>
      <c r="I31" t="s">
        <v>24</v>
      </c>
      <c r="J31">
        <v>0.0001</v>
      </c>
      <c r="K31">
        <v>20</v>
      </c>
      <c r="L31">
        <v>20</v>
      </c>
      <c r="M31">
        <f t="shared" si="2"/>
        <v>0.004</v>
      </c>
      <c r="N31">
        <v>100</v>
      </c>
      <c r="O31">
        <v>0.5</v>
      </c>
      <c r="P31">
        <v>100</v>
      </c>
      <c r="Q31" s="1">
        <f t="shared" si="3"/>
        <v>0.005</v>
      </c>
      <c r="R31" s="4">
        <v>0.5</v>
      </c>
      <c r="S31" s="8" t="s">
        <v>171</v>
      </c>
    </row>
    <row r="32" spans="1:21">
      <c r="A32">
        <v>31</v>
      </c>
      <c r="B32" t="s">
        <v>129</v>
      </c>
      <c r="C32" t="s">
        <v>172</v>
      </c>
      <c r="D32" t="s">
        <v>173</v>
      </c>
      <c r="E32" t="s">
        <v>174</v>
      </c>
      <c r="F32" t="s">
        <v>174</v>
      </c>
      <c r="G32" t="s">
        <v>174</v>
      </c>
      <c r="H32" t="s">
        <v>24</v>
      </c>
      <c r="I32" t="s">
        <v>24</v>
      </c>
      <c r="J32">
        <v>0.0001</v>
      </c>
      <c r="K32">
        <v>20</v>
      </c>
      <c r="L32">
        <v>20</v>
      </c>
      <c r="M32">
        <f t="shared" si="2"/>
        <v>0.004</v>
      </c>
      <c r="N32">
        <v>100</v>
      </c>
      <c r="O32">
        <v>0.5</v>
      </c>
      <c r="P32">
        <v>100</v>
      </c>
      <c r="Q32" s="1">
        <f t="shared" si="3"/>
        <v>0.005</v>
      </c>
      <c r="R32" s="4">
        <v>0.5</v>
      </c>
      <c r="S32" s="8" t="s">
        <v>175</v>
      </c>
    </row>
    <row r="33" spans="1:19">
      <c r="A33">
        <v>32</v>
      </c>
      <c r="B33" t="s">
        <v>129</v>
      </c>
      <c r="C33" t="s">
        <v>176</v>
      </c>
      <c r="D33" t="s">
        <v>177</v>
      </c>
      <c r="E33" t="s">
        <v>178</v>
      </c>
      <c r="F33" t="s">
        <v>178</v>
      </c>
      <c r="G33" t="s">
        <v>179</v>
      </c>
      <c r="H33" t="s">
        <v>24</v>
      </c>
      <c r="I33" t="s">
        <v>24</v>
      </c>
      <c r="J33">
        <v>1e-5</v>
      </c>
      <c r="K33">
        <v>50</v>
      </c>
      <c r="L33">
        <v>50</v>
      </c>
      <c r="M33">
        <f t="shared" si="2"/>
        <v>0.001</v>
      </c>
      <c r="N33">
        <v>1000</v>
      </c>
      <c r="O33">
        <v>0.5</v>
      </c>
      <c r="P33">
        <v>100</v>
      </c>
      <c r="Q33" s="1">
        <f t="shared" si="3"/>
        <v>0.005</v>
      </c>
      <c r="R33" s="4">
        <v>0.5</v>
      </c>
      <c r="S33" s="8" t="s">
        <v>180</v>
      </c>
    </row>
    <row r="34" spans="1:19">
      <c r="A34">
        <v>33</v>
      </c>
      <c r="B34" t="s">
        <v>129</v>
      </c>
      <c r="C34" t="s">
        <v>181</v>
      </c>
      <c r="D34" t="s">
        <v>182</v>
      </c>
      <c r="E34" t="s">
        <v>183</v>
      </c>
      <c r="F34" t="s">
        <v>183</v>
      </c>
      <c r="G34" t="s">
        <v>183</v>
      </c>
      <c r="H34" t="s">
        <v>24</v>
      </c>
      <c r="I34" t="s">
        <v>24</v>
      </c>
      <c r="J34">
        <v>0.001</v>
      </c>
      <c r="K34">
        <v>100</v>
      </c>
      <c r="L34">
        <v>100</v>
      </c>
      <c r="M34">
        <f t="shared" si="2"/>
        <v>0.2</v>
      </c>
      <c r="N34">
        <v>10</v>
      </c>
      <c r="O34">
        <v>0.5</v>
      </c>
      <c r="P34">
        <v>100</v>
      </c>
      <c r="Q34" s="1">
        <f t="shared" si="3"/>
        <v>0.005</v>
      </c>
      <c r="R34" s="4">
        <v>0.5</v>
      </c>
      <c r="S34" s="8" t="s">
        <v>184</v>
      </c>
    </row>
    <row r="35" spans="1:19">
      <c r="A35">
        <v>34</v>
      </c>
      <c r="B35" t="s">
        <v>129</v>
      </c>
      <c r="C35" t="s">
        <v>185</v>
      </c>
      <c r="D35" t="s">
        <v>186</v>
      </c>
      <c r="E35" t="s">
        <v>187</v>
      </c>
      <c r="F35" t="s">
        <v>188</v>
      </c>
      <c r="G35" t="s">
        <v>188</v>
      </c>
      <c r="H35" t="s">
        <v>24</v>
      </c>
      <c r="I35" t="s">
        <v>24</v>
      </c>
      <c r="J35">
        <v>0.01</v>
      </c>
      <c r="K35">
        <v>100</v>
      </c>
      <c r="L35">
        <v>100</v>
      </c>
      <c r="M35">
        <f t="shared" si="2"/>
        <v>2</v>
      </c>
      <c r="N35">
        <v>1</v>
      </c>
      <c r="O35">
        <v>0.5</v>
      </c>
      <c r="P35">
        <v>100</v>
      </c>
      <c r="Q35" s="1">
        <f t="shared" si="3"/>
        <v>0.005</v>
      </c>
      <c r="R35" s="4">
        <v>0.5</v>
      </c>
      <c r="S35" s="8" t="s">
        <v>189</v>
      </c>
    </row>
    <row r="36" spans="1:19">
      <c r="A36">
        <v>35</v>
      </c>
      <c r="B36" t="s">
        <v>129</v>
      </c>
      <c r="C36" t="s">
        <v>190</v>
      </c>
      <c r="D36" t="s">
        <v>191</v>
      </c>
      <c r="E36" t="s">
        <v>192</v>
      </c>
      <c r="F36" t="s">
        <v>193</v>
      </c>
      <c r="G36" t="s">
        <v>193</v>
      </c>
      <c r="H36" t="s">
        <v>24</v>
      </c>
      <c r="I36" t="s">
        <v>24</v>
      </c>
      <c r="J36">
        <v>0.01</v>
      </c>
      <c r="K36">
        <v>10</v>
      </c>
      <c r="L36">
        <v>10</v>
      </c>
      <c r="M36">
        <f t="shared" si="2"/>
        <v>0.2</v>
      </c>
      <c r="N36">
        <v>1</v>
      </c>
      <c r="O36">
        <v>0.5</v>
      </c>
      <c r="P36">
        <v>100</v>
      </c>
      <c r="Q36" s="1">
        <f t="shared" si="3"/>
        <v>0.005</v>
      </c>
      <c r="R36" s="4">
        <v>0.5</v>
      </c>
      <c r="S36" s="8" t="s">
        <v>194</v>
      </c>
    </row>
    <row r="37" spans="1:19">
      <c r="A37">
        <v>36</v>
      </c>
      <c r="B37" t="s">
        <v>129</v>
      </c>
      <c r="C37" t="s">
        <v>195</v>
      </c>
      <c r="D37" t="s">
        <v>196</v>
      </c>
      <c r="E37" t="s">
        <v>197</v>
      </c>
      <c r="F37" t="s">
        <v>198</v>
      </c>
      <c r="G37" t="s">
        <v>199</v>
      </c>
      <c r="H37" t="s">
        <v>24</v>
      </c>
      <c r="I37" t="s">
        <v>24</v>
      </c>
      <c r="J37">
        <v>1e-5</v>
      </c>
      <c r="K37">
        <v>100</v>
      </c>
      <c r="L37">
        <v>100</v>
      </c>
      <c r="M37">
        <f t="shared" si="2"/>
        <v>0.002</v>
      </c>
      <c r="N37">
        <v>1000</v>
      </c>
      <c r="O37">
        <v>0.5</v>
      </c>
      <c r="P37">
        <v>100</v>
      </c>
      <c r="Q37" s="1">
        <f t="shared" si="3"/>
        <v>0.005</v>
      </c>
      <c r="R37" s="4">
        <v>0.5</v>
      </c>
      <c r="S37" s="8" t="s">
        <v>200</v>
      </c>
    </row>
    <row r="38" spans="1:19">
      <c r="A38">
        <v>37</v>
      </c>
      <c r="B38" t="s">
        <v>129</v>
      </c>
      <c r="C38" t="s">
        <v>201</v>
      </c>
      <c r="D38" t="s">
        <v>202</v>
      </c>
      <c r="E38" t="s">
        <v>203</v>
      </c>
      <c r="F38" t="s">
        <v>203</v>
      </c>
      <c r="G38" t="s">
        <v>203</v>
      </c>
      <c r="H38" t="s">
        <v>24</v>
      </c>
      <c r="I38" t="s">
        <v>24</v>
      </c>
      <c r="J38">
        <v>0.001</v>
      </c>
      <c r="K38">
        <v>10</v>
      </c>
      <c r="L38">
        <v>10</v>
      </c>
      <c r="M38">
        <f t="shared" si="2"/>
        <v>0.02</v>
      </c>
      <c r="N38">
        <v>100</v>
      </c>
      <c r="O38">
        <v>0.5</v>
      </c>
      <c r="P38">
        <v>100</v>
      </c>
      <c r="Q38" s="1">
        <f t="shared" si="3"/>
        <v>0.005</v>
      </c>
      <c r="R38" s="4">
        <v>0.5</v>
      </c>
      <c r="S38" s="8" t="s">
        <v>204</v>
      </c>
    </row>
    <row r="39" spans="1:19">
      <c r="A39">
        <v>38</v>
      </c>
      <c r="B39" t="s">
        <v>129</v>
      </c>
      <c r="C39" t="s">
        <v>205</v>
      </c>
      <c r="D39" t="s">
        <v>206</v>
      </c>
      <c r="E39" t="s">
        <v>207</v>
      </c>
      <c r="F39" t="s">
        <v>208</v>
      </c>
      <c r="G39" t="s">
        <v>208</v>
      </c>
      <c r="H39" t="s">
        <v>24</v>
      </c>
      <c r="I39" t="s">
        <v>24</v>
      </c>
      <c r="J39">
        <v>0.01</v>
      </c>
      <c r="K39">
        <v>20</v>
      </c>
      <c r="L39">
        <v>20</v>
      </c>
      <c r="M39">
        <f t="shared" si="2"/>
        <v>0.4</v>
      </c>
      <c r="N39">
        <v>10</v>
      </c>
      <c r="O39">
        <v>0.5</v>
      </c>
      <c r="P39">
        <v>100</v>
      </c>
      <c r="Q39" s="1">
        <f t="shared" si="3"/>
        <v>0.005</v>
      </c>
      <c r="R39" s="4">
        <v>0.5</v>
      </c>
      <c r="S39" s="8" t="s">
        <v>209</v>
      </c>
    </row>
    <row r="40" spans="1:19">
      <c r="A40">
        <v>39</v>
      </c>
      <c r="B40" t="s">
        <v>129</v>
      </c>
      <c r="C40" t="s">
        <v>210</v>
      </c>
      <c r="D40" t="s">
        <v>211</v>
      </c>
      <c r="E40" t="s">
        <v>212</v>
      </c>
      <c r="F40" t="s">
        <v>213</v>
      </c>
      <c r="G40" t="s">
        <v>213</v>
      </c>
      <c r="H40" t="s">
        <v>24</v>
      </c>
      <c r="I40" t="s">
        <v>24</v>
      </c>
      <c r="J40">
        <v>0.01</v>
      </c>
      <c r="K40">
        <v>10</v>
      </c>
      <c r="L40">
        <v>10</v>
      </c>
      <c r="M40">
        <f t="shared" si="2"/>
        <v>0.2</v>
      </c>
      <c r="N40">
        <v>1</v>
      </c>
      <c r="O40">
        <v>0.5</v>
      </c>
      <c r="P40">
        <v>100</v>
      </c>
      <c r="Q40" s="1">
        <f t="shared" si="3"/>
        <v>0.005</v>
      </c>
      <c r="R40" s="4">
        <v>0.5</v>
      </c>
      <c r="S40" s="8" t="s">
        <v>214</v>
      </c>
    </row>
    <row r="41" spans="1:19">
      <c r="A41">
        <v>40</v>
      </c>
      <c r="B41" t="s">
        <v>129</v>
      </c>
      <c r="C41" t="s">
        <v>215</v>
      </c>
      <c r="D41" t="s">
        <v>216</v>
      </c>
      <c r="E41" t="s">
        <v>217</v>
      </c>
      <c r="F41" t="s">
        <v>218</v>
      </c>
      <c r="G41" t="s">
        <v>218</v>
      </c>
      <c r="H41" t="s">
        <v>24</v>
      </c>
      <c r="I41" t="s">
        <v>24</v>
      </c>
      <c r="J41">
        <v>0.001</v>
      </c>
      <c r="K41">
        <v>10</v>
      </c>
      <c r="L41">
        <v>10</v>
      </c>
      <c r="M41">
        <f t="shared" si="2"/>
        <v>0.02</v>
      </c>
      <c r="N41">
        <v>1000</v>
      </c>
      <c r="O41">
        <v>0.5</v>
      </c>
      <c r="P41">
        <v>100</v>
      </c>
      <c r="Q41" s="1">
        <f t="shared" si="3"/>
        <v>0.005</v>
      </c>
      <c r="R41" s="4">
        <v>0.5</v>
      </c>
      <c r="S41" s="8" t="s">
        <v>219</v>
      </c>
    </row>
    <row r="42" spans="1:19">
      <c r="A42">
        <v>41</v>
      </c>
      <c r="B42" t="s">
        <v>129</v>
      </c>
      <c r="C42" t="s">
        <v>220</v>
      </c>
      <c r="D42" t="s">
        <v>221</v>
      </c>
      <c r="E42" t="s">
        <v>222</v>
      </c>
      <c r="F42" t="s">
        <v>223</v>
      </c>
      <c r="G42" t="s">
        <v>224</v>
      </c>
      <c r="H42" t="s">
        <v>24</v>
      </c>
      <c r="I42" t="s">
        <v>24</v>
      </c>
      <c r="J42">
        <v>0.01</v>
      </c>
      <c r="K42">
        <v>10</v>
      </c>
      <c r="L42">
        <v>10</v>
      </c>
      <c r="M42">
        <f t="shared" si="2"/>
        <v>0.2</v>
      </c>
      <c r="N42">
        <v>1</v>
      </c>
      <c r="O42">
        <v>0.5</v>
      </c>
      <c r="P42">
        <v>100</v>
      </c>
      <c r="Q42" s="1">
        <f t="shared" si="3"/>
        <v>0.005</v>
      </c>
      <c r="R42" s="4">
        <v>0.5</v>
      </c>
      <c r="S42" s="8" t="s">
        <v>225</v>
      </c>
    </row>
    <row r="43" ht="34" spans="1:19">
      <c r="A43">
        <v>42</v>
      </c>
      <c r="B43" t="s">
        <v>226</v>
      </c>
      <c r="C43" t="s">
        <v>227</v>
      </c>
      <c r="D43" t="s">
        <v>227</v>
      </c>
      <c r="E43" t="s">
        <v>228</v>
      </c>
      <c r="F43" t="s">
        <v>229</v>
      </c>
      <c r="G43" t="s">
        <v>230</v>
      </c>
      <c r="H43" t="s">
        <v>231</v>
      </c>
      <c r="I43" t="s">
        <v>24</v>
      </c>
      <c r="J43">
        <v>1e-5</v>
      </c>
      <c r="K43">
        <v>3</v>
      </c>
      <c r="L43">
        <v>3</v>
      </c>
      <c r="M43">
        <f t="shared" si="2"/>
        <v>6e-5</v>
      </c>
      <c r="N43">
        <v>100000</v>
      </c>
      <c r="O43">
        <v>0.5</v>
      </c>
      <c r="P43">
        <v>500</v>
      </c>
      <c r="Q43" s="1">
        <f t="shared" ref="Q43:Q53" si="4">0.5/P43</f>
        <v>0.001</v>
      </c>
      <c r="R43" s="4">
        <v>0.5</v>
      </c>
      <c r="S43" s="5" t="s">
        <v>232</v>
      </c>
    </row>
    <row r="44" ht="34" spans="1:19">
      <c r="A44">
        <v>43</v>
      </c>
      <c r="B44" t="s">
        <v>226</v>
      </c>
      <c r="C44" t="s">
        <v>233</v>
      </c>
      <c r="D44" t="s">
        <v>233</v>
      </c>
      <c r="E44" t="s">
        <v>234</v>
      </c>
      <c r="F44" t="s">
        <v>235</v>
      </c>
      <c r="G44" t="s">
        <v>236</v>
      </c>
      <c r="H44" t="s">
        <v>237</v>
      </c>
      <c r="I44" t="s">
        <v>24</v>
      </c>
      <c r="J44">
        <v>1e-5</v>
      </c>
      <c r="K44">
        <v>3</v>
      </c>
      <c r="L44">
        <v>3</v>
      </c>
      <c r="M44">
        <f t="shared" ref="M44:M53" si="5">K44*J44+L44*J44</f>
        <v>6e-5</v>
      </c>
      <c r="N44">
        <v>100000</v>
      </c>
      <c r="O44">
        <v>0.5</v>
      </c>
      <c r="P44">
        <v>500</v>
      </c>
      <c r="Q44" s="1">
        <f t="shared" si="4"/>
        <v>0.001</v>
      </c>
      <c r="R44" s="4">
        <v>0.5</v>
      </c>
      <c r="S44" s="5" t="s">
        <v>238</v>
      </c>
    </row>
    <row r="45" ht="34" spans="1:19">
      <c r="A45">
        <v>44</v>
      </c>
      <c r="B45" t="s">
        <v>226</v>
      </c>
      <c r="C45" t="s">
        <v>239</v>
      </c>
      <c r="D45" t="s">
        <v>239</v>
      </c>
      <c r="E45" t="s">
        <v>240</v>
      </c>
      <c r="F45" t="s">
        <v>241</v>
      </c>
      <c r="G45" t="s">
        <v>242</v>
      </c>
      <c r="H45" t="s">
        <v>243</v>
      </c>
      <c r="I45" t="s">
        <v>24</v>
      </c>
      <c r="J45">
        <v>1e-5</v>
      </c>
      <c r="K45">
        <v>10</v>
      </c>
      <c r="L45">
        <v>10</v>
      </c>
      <c r="M45">
        <f t="shared" si="5"/>
        <v>0.0002</v>
      </c>
      <c r="N45">
        <v>100000</v>
      </c>
      <c r="O45">
        <v>0.5</v>
      </c>
      <c r="P45">
        <v>500</v>
      </c>
      <c r="Q45" s="1">
        <f t="shared" si="4"/>
        <v>0.001</v>
      </c>
      <c r="R45" s="4">
        <v>0.5</v>
      </c>
      <c r="S45" s="5" t="s">
        <v>244</v>
      </c>
    </row>
    <row r="46" ht="34" spans="1:19">
      <c r="A46">
        <v>45</v>
      </c>
      <c r="B46" t="s">
        <v>226</v>
      </c>
      <c r="C46" t="s">
        <v>245</v>
      </c>
      <c r="D46" t="s">
        <v>245</v>
      </c>
      <c r="E46" t="s">
        <v>246</v>
      </c>
      <c r="F46" t="s">
        <v>247</v>
      </c>
      <c r="G46" t="s">
        <v>248</v>
      </c>
      <c r="H46" t="s">
        <v>45</v>
      </c>
      <c r="I46" t="s">
        <v>24</v>
      </c>
      <c r="J46">
        <v>1e-5</v>
      </c>
      <c r="K46">
        <v>10</v>
      </c>
      <c r="L46">
        <v>10</v>
      </c>
      <c r="M46">
        <f t="shared" si="5"/>
        <v>0.0002</v>
      </c>
      <c r="N46">
        <v>100000</v>
      </c>
      <c r="O46">
        <v>0.5</v>
      </c>
      <c r="P46">
        <v>500</v>
      </c>
      <c r="Q46" s="1">
        <f t="shared" si="4"/>
        <v>0.001</v>
      </c>
      <c r="R46" s="4">
        <v>0.5</v>
      </c>
      <c r="S46" s="5" t="s">
        <v>249</v>
      </c>
    </row>
    <row r="47" ht="34" spans="1:19">
      <c r="A47">
        <v>46</v>
      </c>
      <c r="B47" t="s">
        <v>226</v>
      </c>
      <c r="C47" t="s">
        <v>250</v>
      </c>
      <c r="D47" t="s">
        <v>250</v>
      </c>
      <c r="E47" t="s">
        <v>251</v>
      </c>
      <c r="F47" t="s">
        <v>252</v>
      </c>
      <c r="G47" t="s">
        <v>253</v>
      </c>
      <c r="H47" t="s">
        <v>62</v>
      </c>
      <c r="I47" t="s">
        <v>24</v>
      </c>
      <c r="J47">
        <v>0.001</v>
      </c>
      <c r="K47">
        <v>3</v>
      </c>
      <c r="L47">
        <v>3</v>
      </c>
      <c r="M47">
        <f t="shared" si="5"/>
        <v>0.006</v>
      </c>
      <c r="N47">
        <v>100000</v>
      </c>
      <c r="O47">
        <v>0.5</v>
      </c>
      <c r="P47">
        <v>500</v>
      </c>
      <c r="Q47" s="1">
        <f t="shared" si="4"/>
        <v>0.001</v>
      </c>
      <c r="R47" s="4">
        <v>0.5</v>
      </c>
      <c r="S47" s="5" t="s">
        <v>254</v>
      </c>
    </row>
    <row r="48" ht="34" spans="1:19">
      <c r="A48">
        <v>47</v>
      </c>
      <c r="B48" t="s">
        <v>226</v>
      </c>
      <c r="C48" t="s">
        <v>255</v>
      </c>
      <c r="D48" t="s">
        <v>255</v>
      </c>
      <c r="E48" t="s">
        <v>256</v>
      </c>
      <c r="F48" t="s">
        <v>257</v>
      </c>
      <c r="G48" t="s">
        <v>258</v>
      </c>
      <c r="H48" t="s">
        <v>56</v>
      </c>
      <c r="I48" t="s">
        <v>24</v>
      </c>
      <c r="J48">
        <v>1e-5</v>
      </c>
      <c r="K48">
        <v>10</v>
      </c>
      <c r="L48">
        <v>10</v>
      </c>
      <c r="M48">
        <f t="shared" si="5"/>
        <v>0.0002</v>
      </c>
      <c r="N48">
        <v>100000</v>
      </c>
      <c r="O48">
        <v>0.5</v>
      </c>
      <c r="P48">
        <v>500</v>
      </c>
      <c r="Q48" s="1">
        <f t="shared" si="4"/>
        <v>0.001</v>
      </c>
      <c r="R48" s="4">
        <v>0.5</v>
      </c>
      <c r="S48" s="5" t="s">
        <v>259</v>
      </c>
    </row>
    <row r="49" ht="34" spans="1:19">
      <c r="A49">
        <v>48</v>
      </c>
      <c r="B49" t="s">
        <v>226</v>
      </c>
      <c r="C49" s="6" t="s">
        <v>260</v>
      </c>
      <c r="D49" s="6" t="s">
        <v>260</v>
      </c>
      <c r="E49" t="s">
        <v>261</v>
      </c>
      <c r="F49" t="s">
        <v>262</v>
      </c>
      <c r="G49" t="s">
        <v>263</v>
      </c>
      <c r="H49" t="s">
        <v>264</v>
      </c>
      <c r="I49" t="s">
        <v>24</v>
      </c>
      <c r="J49">
        <v>1e-5</v>
      </c>
      <c r="K49">
        <v>10</v>
      </c>
      <c r="L49">
        <v>10</v>
      </c>
      <c r="M49">
        <f t="shared" si="5"/>
        <v>0.0002</v>
      </c>
      <c r="N49">
        <v>100000</v>
      </c>
      <c r="O49">
        <v>0.5</v>
      </c>
      <c r="P49">
        <v>500</v>
      </c>
      <c r="Q49" s="1">
        <f t="shared" si="4"/>
        <v>0.001</v>
      </c>
      <c r="R49" s="4">
        <v>0.5</v>
      </c>
      <c r="S49" s="5" t="s">
        <v>265</v>
      </c>
    </row>
    <row r="50" ht="34" spans="1:19">
      <c r="A50">
        <v>49</v>
      </c>
      <c r="B50" t="s">
        <v>226</v>
      </c>
      <c r="C50" s="6" t="s">
        <v>266</v>
      </c>
      <c r="D50" s="6" t="s">
        <v>266</v>
      </c>
      <c r="E50" t="s">
        <v>267</v>
      </c>
      <c r="F50" t="s">
        <v>268</v>
      </c>
      <c r="G50" t="s">
        <v>269</v>
      </c>
      <c r="H50" t="s">
        <v>270</v>
      </c>
      <c r="I50" t="s">
        <v>24</v>
      </c>
      <c r="J50">
        <v>0.0001</v>
      </c>
      <c r="K50">
        <v>20</v>
      </c>
      <c r="L50">
        <v>20</v>
      </c>
      <c r="M50">
        <f t="shared" si="5"/>
        <v>0.004</v>
      </c>
      <c r="N50">
        <v>100000</v>
      </c>
      <c r="O50">
        <v>0.5</v>
      </c>
      <c r="P50">
        <v>500</v>
      </c>
      <c r="Q50" s="1">
        <f t="shared" si="4"/>
        <v>0.001</v>
      </c>
      <c r="R50" s="4">
        <v>0.5</v>
      </c>
      <c r="S50" s="5" t="s">
        <v>271</v>
      </c>
    </row>
    <row r="51" ht="34" spans="1:19">
      <c r="A51">
        <v>50</v>
      </c>
      <c r="B51" t="s">
        <v>226</v>
      </c>
      <c r="C51" s="6" t="s">
        <v>272</v>
      </c>
      <c r="D51" s="6" t="s">
        <v>272</v>
      </c>
      <c r="E51" t="s">
        <v>273</v>
      </c>
      <c r="F51" t="s">
        <v>274</v>
      </c>
      <c r="G51" t="s">
        <v>275</v>
      </c>
      <c r="H51" t="s">
        <v>276</v>
      </c>
      <c r="I51" t="s">
        <v>24</v>
      </c>
      <c r="J51">
        <v>0.0001</v>
      </c>
      <c r="K51">
        <v>20</v>
      </c>
      <c r="L51">
        <v>20</v>
      </c>
      <c r="M51">
        <f t="shared" si="5"/>
        <v>0.004</v>
      </c>
      <c r="N51">
        <v>100000</v>
      </c>
      <c r="O51">
        <v>0.5</v>
      </c>
      <c r="P51">
        <v>500</v>
      </c>
      <c r="Q51" s="1">
        <f t="shared" si="4"/>
        <v>0.001</v>
      </c>
      <c r="R51" s="4">
        <v>0.5</v>
      </c>
      <c r="S51" s="5" t="s">
        <v>277</v>
      </c>
    </row>
    <row r="52" ht="34" spans="1:19">
      <c r="A52">
        <v>51</v>
      </c>
      <c r="B52" t="s">
        <v>226</v>
      </c>
      <c r="C52" t="s">
        <v>278</v>
      </c>
      <c r="D52" t="s">
        <v>278</v>
      </c>
      <c r="E52" t="s">
        <v>279</v>
      </c>
      <c r="F52" t="s">
        <v>280</v>
      </c>
      <c r="G52" t="s">
        <v>281</v>
      </c>
      <c r="H52" t="s">
        <v>24</v>
      </c>
      <c r="I52" t="s">
        <v>24</v>
      </c>
      <c r="J52">
        <v>1e-5</v>
      </c>
      <c r="K52">
        <v>3</v>
      </c>
      <c r="L52">
        <v>3</v>
      </c>
      <c r="M52">
        <f t="shared" si="5"/>
        <v>6e-5</v>
      </c>
      <c r="N52">
        <v>100000</v>
      </c>
      <c r="O52">
        <v>0.5</v>
      </c>
      <c r="P52">
        <v>500</v>
      </c>
      <c r="Q52" s="1">
        <f t="shared" si="4"/>
        <v>0.001</v>
      </c>
      <c r="R52" s="4">
        <v>0.5</v>
      </c>
      <c r="S52" s="5" t="s">
        <v>282</v>
      </c>
    </row>
    <row r="53" ht="34" spans="1:19">
      <c r="A53">
        <v>52</v>
      </c>
      <c r="B53" t="s">
        <v>226</v>
      </c>
      <c r="C53" t="s">
        <v>283</v>
      </c>
      <c r="D53" t="s">
        <v>283</v>
      </c>
      <c r="E53" t="s">
        <v>284</v>
      </c>
      <c r="F53" t="s">
        <v>285</v>
      </c>
      <c r="G53" t="s">
        <v>286</v>
      </c>
      <c r="H53" t="s">
        <v>24</v>
      </c>
      <c r="I53" t="s">
        <v>24</v>
      </c>
      <c r="J53">
        <v>1e-5</v>
      </c>
      <c r="K53">
        <v>3</v>
      </c>
      <c r="L53">
        <v>3</v>
      </c>
      <c r="M53">
        <f t="shared" si="5"/>
        <v>6e-5</v>
      </c>
      <c r="N53">
        <v>100000</v>
      </c>
      <c r="O53">
        <v>0.5</v>
      </c>
      <c r="P53">
        <v>500</v>
      </c>
      <c r="Q53" s="1">
        <f t="shared" si="4"/>
        <v>0.001</v>
      </c>
      <c r="R53" s="4">
        <v>0.5</v>
      </c>
      <c r="S53" s="5" t="s">
        <v>287</v>
      </c>
    </row>
    <row r="54" ht="152" spans="1:19">
      <c r="A54">
        <v>53</v>
      </c>
      <c r="B54" t="s">
        <v>288</v>
      </c>
      <c r="C54" t="s">
        <v>289</v>
      </c>
      <c r="D54" t="s">
        <v>290</v>
      </c>
      <c r="E54" t="s">
        <v>291</v>
      </c>
      <c r="F54" t="s">
        <v>292</v>
      </c>
      <c r="G54" t="s">
        <v>292</v>
      </c>
      <c r="H54" t="s">
        <v>24</v>
      </c>
      <c r="I54" t="s">
        <v>24</v>
      </c>
      <c r="J54">
        <v>0.01</v>
      </c>
      <c r="K54">
        <v>1</v>
      </c>
      <c r="L54">
        <v>1</v>
      </c>
      <c r="M54">
        <f t="shared" ref="M54:M93" si="6">K54*J54+L54*J54</f>
        <v>0.02</v>
      </c>
      <c r="N54">
        <v>1</v>
      </c>
      <c r="O54">
        <v>0.5</v>
      </c>
      <c r="P54">
        <v>30</v>
      </c>
      <c r="Q54" s="1">
        <f t="shared" ref="Q54:Q93" si="7">0.5/P54</f>
        <v>0.0166666666666667</v>
      </c>
      <c r="R54" s="4">
        <v>0.5</v>
      </c>
      <c r="S54" s="5" t="s">
        <v>293</v>
      </c>
    </row>
    <row r="55" ht="152" spans="1:19">
      <c r="A55">
        <v>54</v>
      </c>
      <c r="B55" t="s">
        <v>288</v>
      </c>
      <c r="C55" t="s">
        <v>294</v>
      </c>
      <c r="D55" t="s">
        <v>295</v>
      </c>
      <c r="E55" t="s">
        <v>296</v>
      </c>
      <c r="F55" t="s">
        <v>297</v>
      </c>
      <c r="G55" t="s">
        <v>298</v>
      </c>
      <c r="H55" t="s">
        <v>24</v>
      </c>
      <c r="I55" t="s">
        <v>24</v>
      </c>
      <c r="J55">
        <v>0.01</v>
      </c>
      <c r="K55">
        <v>1</v>
      </c>
      <c r="L55">
        <v>1</v>
      </c>
      <c r="M55">
        <f t="shared" si="6"/>
        <v>0.02</v>
      </c>
      <c r="N55">
        <v>1</v>
      </c>
      <c r="O55">
        <v>0.5</v>
      </c>
      <c r="P55">
        <v>30</v>
      </c>
      <c r="Q55" s="1">
        <f t="shared" si="7"/>
        <v>0.0166666666666667</v>
      </c>
      <c r="R55" s="4">
        <v>0.5</v>
      </c>
      <c r="S55" s="5" t="s">
        <v>299</v>
      </c>
    </row>
    <row r="56" ht="152" spans="1:19">
      <c r="A56">
        <v>55</v>
      </c>
      <c r="B56" t="s">
        <v>288</v>
      </c>
      <c r="C56" t="s">
        <v>300</v>
      </c>
      <c r="D56" t="s">
        <v>301</v>
      </c>
      <c r="E56" t="s">
        <v>302</v>
      </c>
      <c r="F56" t="s">
        <v>303</v>
      </c>
      <c r="G56" t="s">
        <v>304</v>
      </c>
      <c r="H56" t="s">
        <v>24</v>
      </c>
      <c r="I56" t="s">
        <v>24</v>
      </c>
      <c r="J56">
        <v>0.01</v>
      </c>
      <c r="K56">
        <v>1</v>
      </c>
      <c r="L56">
        <v>1</v>
      </c>
      <c r="M56">
        <f t="shared" si="6"/>
        <v>0.02</v>
      </c>
      <c r="N56">
        <v>1</v>
      </c>
      <c r="O56">
        <v>0.5</v>
      </c>
      <c r="P56">
        <v>30</v>
      </c>
      <c r="Q56" s="1">
        <f t="shared" si="7"/>
        <v>0.0166666666666667</v>
      </c>
      <c r="R56" s="4">
        <v>0.5</v>
      </c>
      <c r="S56" s="5" t="s">
        <v>305</v>
      </c>
    </row>
    <row r="57" ht="152" spans="1:19">
      <c r="A57">
        <v>56</v>
      </c>
      <c r="B57" t="s">
        <v>288</v>
      </c>
      <c r="C57" t="s">
        <v>306</v>
      </c>
      <c r="D57" t="s">
        <v>307</v>
      </c>
      <c r="E57" t="s">
        <v>308</v>
      </c>
      <c r="F57" t="s">
        <v>309</v>
      </c>
      <c r="G57" t="s">
        <v>310</v>
      </c>
      <c r="H57" t="s">
        <v>24</v>
      </c>
      <c r="I57" t="s">
        <v>24</v>
      </c>
      <c r="J57">
        <v>0.01</v>
      </c>
      <c r="K57">
        <v>1</v>
      </c>
      <c r="L57">
        <v>1</v>
      </c>
      <c r="M57">
        <f t="shared" si="6"/>
        <v>0.02</v>
      </c>
      <c r="N57">
        <v>1</v>
      </c>
      <c r="O57">
        <v>0.5</v>
      </c>
      <c r="P57">
        <v>30</v>
      </c>
      <c r="Q57" s="1">
        <f t="shared" si="7"/>
        <v>0.0166666666666667</v>
      </c>
      <c r="R57" s="4">
        <v>0.5</v>
      </c>
      <c r="S57" s="5" t="s">
        <v>311</v>
      </c>
    </row>
    <row r="58" ht="152" spans="1:19">
      <c r="A58">
        <v>57</v>
      </c>
      <c r="B58" t="s">
        <v>288</v>
      </c>
      <c r="C58" t="s">
        <v>312</v>
      </c>
      <c r="D58" t="s">
        <v>313</v>
      </c>
      <c r="E58" t="s">
        <v>314</v>
      </c>
      <c r="F58" t="s">
        <v>315</v>
      </c>
      <c r="G58" t="s">
        <v>316</v>
      </c>
      <c r="H58" t="s">
        <v>24</v>
      </c>
      <c r="I58" t="s">
        <v>24</v>
      </c>
      <c r="J58">
        <v>0.01</v>
      </c>
      <c r="K58">
        <v>1</v>
      </c>
      <c r="L58">
        <v>1</v>
      </c>
      <c r="M58">
        <f t="shared" si="6"/>
        <v>0.02</v>
      </c>
      <c r="N58">
        <v>1</v>
      </c>
      <c r="O58">
        <v>0.5</v>
      </c>
      <c r="P58">
        <v>30</v>
      </c>
      <c r="Q58" s="1">
        <f t="shared" si="7"/>
        <v>0.0166666666666667</v>
      </c>
      <c r="R58" s="4">
        <v>0.5</v>
      </c>
      <c r="S58" s="5" t="s">
        <v>317</v>
      </c>
    </row>
    <row r="59" ht="152" spans="1:19">
      <c r="A59">
        <v>58</v>
      </c>
      <c r="B59" t="s">
        <v>288</v>
      </c>
      <c r="C59" t="s">
        <v>318</v>
      </c>
      <c r="D59" t="s">
        <v>319</v>
      </c>
      <c r="E59" t="s">
        <v>320</v>
      </c>
      <c r="F59" t="s">
        <v>320</v>
      </c>
      <c r="G59" t="s">
        <v>321</v>
      </c>
      <c r="H59" t="s">
        <v>24</v>
      </c>
      <c r="I59" t="s">
        <v>24</v>
      </c>
      <c r="J59">
        <v>0.01</v>
      </c>
      <c r="K59">
        <v>1</v>
      </c>
      <c r="L59">
        <v>1</v>
      </c>
      <c r="M59">
        <f t="shared" si="6"/>
        <v>0.02</v>
      </c>
      <c r="N59">
        <v>1</v>
      </c>
      <c r="O59">
        <v>0.5</v>
      </c>
      <c r="P59">
        <v>30</v>
      </c>
      <c r="Q59" s="1">
        <f t="shared" si="7"/>
        <v>0.0166666666666667</v>
      </c>
      <c r="R59" s="4">
        <v>0.5</v>
      </c>
      <c r="S59" s="5" t="s">
        <v>322</v>
      </c>
    </row>
    <row r="60" ht="152" spans="1:19">
      <c r="A60">
        <v>59</v>
      </c>
      <c r="B60" t="s">
        <v>288</v>
      </c>
      <c r="C60" t="s">
        <v>323</v>
      </c>
      <c r="D60" t="s">
        <v>324</v>
      </c>
      <c r="E60" t="s">
        <v>325</v>
      </c>
      <c r="F60" t="s">
        <v>326</v>
      </c>
      <c r="G60" t="s">
        <v>327</v>
      </c>
      <c r="H60" t="s">
        <v>24</v>
      </c>
      <c r="I60" t="s">
        <v>24</v>
      </c>
      <c r="J60">
        <v>0.01</v>
      </c>
      <c r="K60">
        <v>1</v>
      </c>
      <c r="L60">
        <v>1</v>
      </c>
      <c r="M60">
        <f t="shared" si="6"/>
        <v>0.02</v>
      </c>
      <c r="N60">
        <v>1</v>
      </c>
      <c r="O60">
        <v>0.5</v>
      </c>
      <c r="P60">
        <v>30</v>
      </c>
      <c r="Q60" s="1">
        <f t="shared" si="7"/>
        <v>0.0166666666666667</v>
      </c>
      <c r="R60" s="4">
        <v>0.5</v>
      </c>
      <c r="S60" s="5" t="s">
        <v>328</v>
      </c>
    </row>
    <row r="61" ht="152" spans="1:19">
      <c r="A61">
        <v>60</v>
      </c>
      <c r="B61" t="s">
        <v>288</v>
      </c>
      <c r="C61" t="s">
        <v>329</v>
      </c>
      <c r="D61" t="s">
        <v>330</v>
      </c>
      <c r="E61" t="s">
        <v>331</v>
      </c>
      <c r="F61" t="s">
        <v>332</v>
      </c>
      <c r="G61" t="s">
        <v>332</v>
      </c>
      <c r="H61" t="s">
        <v>24</v>
      </c>
      <c r="I61" t="s">
        <v>24</v>
      </c>
      <c r="J61">
        <v>0.01</v>
      </c>
      <c r="K61">
        <v>1</v>
      </c>
      <c r="L61">
        <v>1</v>
      </c>
      <c r="M61">
        <f t="shared" si="6"/>
        <v>0.02</v>
      </c>
      <c r="N61">
        <v>1</v>
      </c>
      <c r="O61">
        <v>0.5</v>
      </c>
      <c r="P61">
        <v>30</v>
      </c>
      <c r="Q61" s="1">
        <f t="shared" si="7"/>
        <v>0.0166666666666667</v>
      </c>
      <c r="R61" s="4">
        <v>0.5</v>
      </c>
      <c r="S61" s="5" t="s">
        <v>333</v>
      </c>
    </row>
    <row r="62" ht="152" spans="1:19">
      <c r="A62">
        <v>61</v>
      </c>
      <c r="B62" t="s">
        <v>288</v>
      </c>
      <c r="C62" t="s">
        <v>334</v>
      </c>
      <c r="D62" t="s">
        <v>335</v>
      </c>
      <c r="E62" t="s">
        <v>336</v>
      </c>
      <c r="F62" t="s">
        <v>337</v>
      </c>
      <c r="G62" t="s">
        <v>338</v>
      </c>
      <c r="H62" t="s">
        <v>24</v>
      </c>
      <c r="I62" t="s">
        <v>24</v>
      </c>
      <c r="J62">
        <v>0.01</v>
      </c>
      <c r="K62">
        <v>1</v>
      </c>
      <c r="L62">
        <v>1</v>
      </c>
      <c r="M62">
        <f t="shared" si="6"/>
        <v>0.02</v>
      </c>
      <c r="N62">
        <v>1</v>
      </c>
      <c r="O62">
        <v>0.5</v>
      </c>
      <c r="P62">
        <v>30</v>
      </c>
      <c r="Q62" s="1">
        <f t="shared" si="7"/>
        <v>0.0166666666666667</v>
      </c>
      <c r="R62" s="4">
        <v>0.5</v>
      </c>
      <c r="S62" s="5" t="s">
        <v>339</v>
      </c>
    </row>
    <row r="63" ht="152" spans="1:19">
      <c r="A63">
        <v>62</v>
      </c>
      <c r="B63" t="s">
        <v>288</v>
      </c>
      <c r="C63" t="s">
        <v>340</v>
      </c>
      <c r="D63" t="s">
        <v>341</v>
      </c>
      <c r="E63" t="s">
        <v>342</v>
      </c>
      <c r="F63" t="s">
        <v>343</v>
      </c>
      <c r="G63" t="s">
        <v>343</v>
      </c>
      <c r="H63" t="s">
        <v>24</v>
      </c>
      <c r="I63" t="s">
        <v>24</v>
      </c>
      <c r="J63">
        <v>0.01</v>
      </c>
      <c r="K63">
        <v>1</v>
      </c>
      <c r="L63">
        <v>1</v>
      </c>
      <c r="M63">
        <f t="shared" si="6"/>
        <v>0.02</v>
      </c>
      <c r="N63">
        <v>1</v>
      </c>
      <c r="O63">
        <v>0.5</v>
      </c>
      <c r="P63">
        <v>30</v>
      </c>
      <c r="Q63" s="1">
        <f t="shared" si="7"/>
        <v>0.0166666666666667</v>
      </c>
      <c r="R63" s="4">
        <v>0.5</v>
      </c>
      <c r="S63" s="5" t="s">
        <v>344</v>
      </c>
    </row>
    <row r="64" ht="152" spans="1:19">
      <c r="A64">
        <v>63</v>
      </c>
      <c r="B64" t="s">
        <v>288</v>
      </c>
      <c r="C64" t="s">
        <v>345</v>
      </c>
      <c r="D64" t="s">
        <v>346</v>
      </c>
      <c r="E64" t="s">
        <v>347</v>
      </c>
      <c r="F64" t="s">
        <v>348</v>
      </c>
      <c r="G64" t="s">
        <v>349</v>
      </c>
      <c r="H64" t="s">
        <v>24</v>
      </c>
      <c r="I64" t="s">
        <v>24</v>
      </c>
      <c r="J64">
        <v>0.01</v>
      </c>
      <c r="K64">
        <v>1</v>
      </c>
      <c r="L64">
        <v>1</v>
      </c>
      <c r="M64">
        <f t="shared" si="6"/>
        <v>0.02</v>
      </c>
      <c r="N64">
        <v>1</v>
      </c>
      <c r="O64">
        <v>0.5</v>
      </c>
      <c r="P64">
        <v>30</v>
      </c>
      <c r="Q64" s="1">
        <f t="shared" si="7"/>
        <v>0.0166666666666667</v>
      </c>
      <c r="R64" s="4">
        <v>0.5</v>
      </c>
      <c r="S64" s="5" t="s">
        <v>350</v>
      </c>
    </row>
    <row r="65" ht="152" spans="1:19">
      <c r="A65">
        <v>64</v>
      </c>
      <c r="B65" t="s">
        <v>288</v>
      </c>
      <c r="C65" t="s">
        <v>351</v>
      </c>
      <c r="D65" t="s">
        <v>352</v>
      </c>
      <c r="E65" t="s">
        <v>353</v>
      </c>
      <c r="F65" t="s">
        <v>354</v>
      </c>
      <c r="G65" t="s">
        <v>355</v>
      </c>
      <c r="H65" t="s">
        <v>24</v>
      </c>
      <c r="I65" t="s">
        <v>24</v>
      </c>
      <c r="J65">
        <v>0.01</v>
      </c>
      <c r="K65">
        <v>1</v>
      </c>
      <c r="L65">
        <v>1</v>
      </c>
      <c r="M65">
        <f t="shared" si="6"/>
        <v>0.02</v>
      </c>
      <c r="N65">
        <v>1</v>
      </c>
      <c r="O65">
        <v>0.5</v>
      </c>
      <c r="P65">
        <v>30</v>
      </c>
      <c r="Q65" s="1">
        <f t="shared" si="7"/>
        <v>0.0166666666666667</v>
      </c>
      <c r="R65" s="4">
        <v>0.5</v>
      </c>
      <c r="S65" s="5" t="s">
        <v>356</v>
      </c>
    </row>
    <row r="66" ht="152" spans="1:19">
      <c r="A66">
        <v>65</v>
      </c>
      <c r="B66" t="s">
        <v>288</v>
      </c>
      <c r="C66" t="s">
        <v>357</v>
      </c>
      <c r="D66" t="s">
        <v>358</v>
      </c>
      <c r="E66" t="s">
        <v>359</v>
      </c>
      <c r="F66" t="s">
        <v>360</v>
      </c>
      <c r="G66" t="s">
        <v>361</v>
      </c>
      <c r="H66" t="s">
        <v>24</v>
      </c>
      <c r="I66" t="s">
        <v>24</v>
      </c>
      <c r="J66">
        <v>0.01</v>
      </c>
      <c r="K66">
        <v>1</v>
      </c>
      <c r="L66">
        <v>1</v>
      </c>
      <c r="M66">
        <f t="shared" si="6"/>
        <v>0.02</v>
      </c>
      <c r="N66">
        <v>1</v>
      </c>
      <c r="O66">
        <v>0.5</v>
      </c>
      <c r="P66">
        <v>30</v>
      </c>
      <c r="Q66" s="1">
        <f t="shared" si="7"/>
        <v>0.0166666666666667</v>
      </c>
      <c r="R66" s="4">
        <v>0.5</v>
      </c>
      <c r="S66" s="5" t="s">
        <v>362</v>
      </c>
    </row>
    <row r="67" ht="152" spans="1:19">
      <c r="A67">
        <v>66</v>
      </c>
      <c r="B67" t="s">
        <v>288</v>
      </c>
      <c r="C67" t="s">
        <v>363</v>
      </c>
      <c r="D67" t="s">
        <v>364</v>
      </c>
      <c r="E67" t="s">
        <v>365</v>
      </c>
      <c r="F67" t="s">
        <v>365</v>
      </c>
      <c r="G67" s="10" t="s">
        <v>365</v>
      </c>
      <c r="H67" t="s">
        <v>24</v>
      </c>
      <c r="I67" t="s">
        <v>24</v>
      </c>
      <c r="J67">
        <v>0.01</v>
      </c>
      <c r="K67">
        <v>1</v>
      </c>
      <c r="L67">
        <v>1</v>
      </c>
      <c r="M67">
        <f t="shared" si="6"/>
        <v>0.02</v>
      </c>
      <c r="N67">
        <v>1</v>
      </c>
      <c r="O67">
        <v>0.5</v>
      </c>
      <c r="P67">
        <v>30</v>
      </c>
      <c r="Q67" s="1">
        <f t="shared" si="7"/>
        <v>0.0166666666666667</v>
      </c>
      <c r="R67" s="4">
        <v>0.5</v>
      </c>
      <c r="S67" s="5" t="s">
        <v>366</v>
      </c>
    </row>
    <row r="68" ht="152" spans="1:19">
      <c r="A68">
        <v>67</v>
      </c>
      <c r="B68" t="s">
        <v>288</v>
      </c>
      <c r="C68" t="s">
        <v>367</v>
      </c>
      <c r="D68" t="s">
        <v>368</v>
      </c>
      <c r="E68" t="s">
        <v>369</v>
      </c>
      <c r="F68" t="s">
        <v>370</v>
      </c>
      <c r="G68" t="s">
        <v>371</v>
      </c>
      <c r="H68" t="s">
        <v>24</v>
      </c>
      <c r="I68" t="s">
        <v>24</v>
      </c>
      <c r="J68">
        <v>0.01</v>
      </c>
      <c r="K68">
        <v>1</v>
      </c>
      <c r="L68">
        <v>1</v>
      </c>
      <c r="M68">
        <f t="shared" si="6"/>
        <v>0.02</v>
      </c>
      <c r="N68">
        <v>1</v>
      </c>
      <c r="O68">
        <v>0.5</v>
      </c>
      <c r="P68">
        <v>30</v>
      </c>
      <c r="Q68" s="1">
        <f t="shared" si="7"/>
        <v>0.0166666666666667</v>
      </c>
      <c r="R68" s="4">
        <v>0.5</v>
      </c>
      <c r="S68" s="5" t="s">
        <v>372</v>
      </c>
    </row>
    <row r="69" ht="152" spans="1:19">
      <c r="A69">
        <v>68</v>
      </c>
      <c r="B69" t="s">
        <v>288</v>
      </c>
      <c r="C69" t="s">
        <v>373</v>
      </c>
      <c r="D69" t="s">
        <v>374</v>
      </c>
      <c r="E69" t="s">
        <v>375</v>
      </c>
      <c r="F69" t="s">
        <v>376</v>
      </c>
      <c r="G69" t="s">
        <v>377</v>
      </c>
      <c r="H69" t="s">
        <v>24</v>
      </c>
      <c r="I69" t="s">
        <v>24</v>
      </c>
      <c r="J69">
        <v>0.01</v>
      </c>
      <c r="K69">
        <v>1</v>
      </c>
      <c r="L69">
        <v>1</v>
      </c>
      <c r="M69">
        <f t="shared" si="6"/>
        <v>0.02</v>
      </c>
      <c r="N69">
        <v>1</v>
      </c>
      <c r="O69">
        <v>0.5</v>
      </c>
      <c r="P69">
        <v>30</v>
      </c>
      <c r="Q69" s="1">
        <f t="shared" si="7"/>
        <v>0.0166666666666667</v>
      </c>
      <c r="R69" s="4">
        <v>0.5</v>
      </c>
      <c r="S69" s="5" t="s">
        <v>378</v>
      </c>
    </row>
    <row r="70" ht="152" spans="1:19">
      <c r="A70">
        <v>69</v>
      </c>
      <c r="B70" t="s">
        <v>288</v>
      </c>
      <c r="C70" t="s">
        <v>379</v>
      </c>
      <c r="D70" t="s">
        <v>380</v>
      </c>
      <c r="E70" t="s">
        <v>381</v>
      </c>
      <c r="F70" t="s">
        <v>382</v>
      </c>
      <c r="G70" t="s">
        <v>382</v>
      </c>
      <c r="H70" t="s">
        <v>24</v>
      </c>
      <c r="I70" t="s">
        <v>24</v>
      </c>
      <c r="J70">
        <v>0.01</v>
      </c>
      <c r="K70">
        <v>1</v>
      </c>
      <c r="L70">
        <v>1</v>
      </c>
      <c r="M70">
        <f t="shared" si="6"/>
        <v>0.02</v>
      </c>
      <c r="N70">
        <v>1</v>
      </c>
      <c r="O70">
        <v>0.5</v>
      </c>
      <c r="P70">
        <v>30</v>
      </c>
      <c r="Q70" s="1">
        <f t="shared" si="7"/>
        <v>0.0166666666666667</v>
      </c>
      <c r="R70" s="4">
        <v>0.5</v>
      </c>
      <c r="S70" s="5" t="s">
        <v>383</v>
      </c>
    </row>
    <row r="71" ht="152" spans="1:19">
      <c r="A71">
        <v>70</v>
      </c>
      <c r="B71" t="s">
        <v>288</v>
      </c>
      <c r="C71" t="s">
        <v>384</v>
      </c>
      <c r="D71" t="s">
        <v>385</v>
      </c>
      <c r="E71" t="s">
        <v>386</v>
      </c>
      <c r="F71" t="s">
        <v>387</v>
      </c>
      <c r="G71" t="s">
        <v>388</v>
      </c>
      <c r="H71" t="s">
        <v>24</v>
      </c>
      <c r="I71" t="s">
        <v>24</v>
      </c>
      <c r="J71">
        <v>0.01</v>
      </c>
      <c r="K71">
        <v>1</v>
      </c>
      <c r="L71">
        <v>1</v>
      </c>
      <c r="M71">
        <f t="shared" si="6"/>
        <v>0.02</v>
      </c>
      <c r="N71">
        <v>1</v>
      </c>
      <c r="O71">
        <v>0.5</v>
      </c>
      <c r="P71">
        <v>30</v>
      </c>
      <c r="Q71" s="1">
        <f t="shared" si="7"/>
        <v>0.0166666666666667</v>
      </c>
      <c r="R71" s="4">
        <v>0.5</v>
      </c>
      <c r="S71" s="5" t="s">
        <v>389</v>
      </c>
    </row>
    <row r="72" ht="152" spans="1:19">
      <c r="A72">
        <v>71</v>
      </c>
      <c r="B72" t="s">
        <v>288</v>
      </c>
      <c r="C72" t="s">
        <v>390</v>
      </c>
      <c r="D72" t="s">
        <v>391</v>
      </c>
      <c r="E72" t="s">
        <v>392</v>
      </c>
      <c r="F72" t="s">
        <v>393</v>
      </c>
      <c r="G72" t="s">
        <v>393</v>
      </c>
      <c r="H72" t="s">
        <v>24</v>
      </c>
      <c r="I72" t="s">
        <v>24</v>
      </c>
      <c r="J72">
        <v>0.01</v>
      </c>
      <c r="K72">
        <v>1</v>
      </c>
      <c r="L72">
        <v>1</v>
      </c>
      <c r="M72">
        <f t="shared" si="6"/>
        <v>0.02</v>
      </c>
      <c r="N72">
        <v>1</v>
      </c>
      <c r="O72">
        <v>0.5</v>
      </c>
      <c r="P72">
        <v>30</v>
      </c>
      <c r="Q72" s="1">
        <f t="shared" si="7"/>
        <v>0.0166666666666667</v>
      </c>
      <c r="R72" s="4">
        <v>0.5</v>
      </c>
      <c r="S72" s="5" t="s">
        <v>394</v>
      </c>
    </row>
    <row r="73" ht="152" spans="1:19">
      <c r="A73">
        <v>72</v>
      </c>
      <c r="B73" t="s">
        <v>288</v>
      </c>
      <c r="C73" t="s">
        <v>395</v>
      </c>
      <c r="D73" t="s">
        <v>396</v>
      </c>
      <c r="E73" t="s">
        <v>397</v>
      </c>
      <c r="F73" t="s">
        <v>398</v>
      </c>
      <c r="G73" t="s">
        <v>399</v>
      </c>
      <c r="H73" t="s">
        <v>24</v>
      </c>
      <c r="I73" t="s">
        <v>24</v>
      </c>
      <c r="J73">
        <v>0.01</v>
      </c>
      <c r="K73">
        <v>1</v>
      </c>
      <c r="L73">
        <v>1</v>
      </c>
      <c r="M73">
        <f t="shared" si="6"/>
        <v>0.02</v>
      </c>
      <c r="N73">
        <v>1</v>
      </c>
      <c r="O73">
        <v>0.5</v>
      </c>
      <c r="P73">
        <v>30</v>
      </c>
      <c r="Q73" s="1">
        <f t="shared" si="7"/>
        <v>0.0166666666666667</v>
      </c>
      <c r="R73" s="4">
        <v>0.5</v>
      </c>
      <c r="S73" s="5" t="s">
        <v>400</v>
      </c>
    </row>
    <row r="74" ht="152" spans="1:19">
      <c r="A74">
        <v>73</v>
      </c>
      <c r="B74" t="s">
        <v>288</v>
      </c>
      <c r="C74" t="s">
        <v>401</v>
      </c>
      <c r="D74" t="s">
        <v>402</v>
      </c>
      <c r="E74" t="s">
        <v>403</v>
      </c>
      <c r="F74" t="s">
        <v>404</v>
      </c>
      <c r="G74" t="s">
        <v>403</v>
      </c>
      <c r="H74" t="s">
        <v>24</v>
      </c>
      <c r="I74" t="s">
        <v>24</v>
      </c>
      <c r="J74">
        <v>0.01</v>
      </c>
      <c r="K74">
        <v>1</v>
      </c>
      <c r="L74">
        <v>1</v>
      </c>
      <c r="M74">
        <f t="shared" si="6"/>
        <v>0.02</v>
      </c>
      <c r="N74">
        <v>1</v>
      </c>
      <c r="O74">
        <v>0.5</v>
      </c>
      <c r="P74">
        <v>30</v>
      </c>
      <c r="Q74" s="1">
        <f t="shared" si="7"/>
        <v>0.0166666666666667</v>
      </c>
      <c r="R74" s="4">
        <v>0.5</v>
      </c>
      <c r="S74" s="5" t="s">
        <v>405</v>
      </c>
    </row>
    <row r="75" ht="152" spans="1:19">
      <c r="A75">
        <v>74</v>
      </c>
      <c r="B75" t="s">
        <v>288</v>
      </c>
      <c r="C75" t="s">
        <v>406</v>
      </c>
      <c r="D75" t="s">
        <v>407</v>
      </c>
      <c r="E75" t="s">
        <v>408</v>
      </c>
      <c r="F75" t="s">
        <v>409</v>
      </c>
      <c r="G75" t="s">
        <v>410</v>
      </c>
      <c r="H75" t="s">
        <v>24</v>
      </c>
      <c r="I75" t="s">
        <v>24</v>
      </c>
      <c r="J75">
        <v>0.01</v>
      </c>
      <c r="K75">
        <v>1</v>
      </c>
      <c r="L75">
        <v>1</v>
      </c>
      <c r="M75">
        <f t="shared" si="6"/>
        <v>0.02</v>
      </c>
      <c r="N75">
        <v>1</v>
      </c>
      <c r="O75">
        <v>0.5</v>
      </c>
      <c r="P75">
        <v>30</v>
      </c>
      <c r="Q75" s="1">
        <f t="shared" si="7"/>
        <v>0.0166666666666667</v>
      </c>
      <c r="R75" s="4">
        <v>0.5</v>
      </c>
      <c r="S75" s="5" t="s">
        <v>411</v>
      </c>
    </row>
    <row r="76" ht="152" spans="1:19">
      <c r="A76">
        <v>75</v>
      </c>
      <c r="B76" t="s">
        <v>288</v>
      </c>
      <c r="C76" t="s">
        <v>412</v>
      </c>
      <c r="D76" t="s">
        <v>413</v>
      </c>
      <c r="E76" t="s">
        <v>414</v>
      </c>
      <c r="F76" t="s">
        <v>415</v>
      </c>
      <c r="G76" t="s">
        <v>416</v>
      </c>
      <c r="H76" t="s">
        <v>24</v>
      </c>
      <c r="I76" t="s">
        <v>24</v>
      </c>
      <c r="J76">
        <v>0.01</v>
      </c>
      <c r="K76">
        <v>1</v>
      </c>
      <c r="L76">
        <v>1</v>
      </c>
      <c r="M76">
        <f t="shared" si="6"/>
        <v>0.02</v>
      </c>
      <c r="N76">
        <v>1</v>
      </c>
      <c r="O76">
        <v>0.5</v>
      </c>
      <c r="P76">
        <v>30</v>
      </c>
      <c r="Q76" s="1">
        <f t="shared" si="7"/>
        <v>0.0166666666666667</v>
      </c>
      <c r="R76" s="4">
        <v>0.5</v>
      </c>
      <c r="S76" s="5" t="s">
        <v>417</v>
      </c>
    </row>
    <row r="77" ht="152" spans="1:19">
      <c r="A77">
        <v>76</v>
      </c>
      <c r="B77" t="s">
        <v>288</v>
      </c>
      <c r="C77" t="s">
        <v>418</v>
      </c>
      <c r="D77" t="s">
        <v>419</v>
      </c>
      <c r="E77" t="s">
        <v>420</v>
      </c>
      <c r="F77" t="s">
        <v>421</v>
      </c>
      <c r="G77" t="s">
        <v>422</v>
      </c>
      <c r="H77" t="s">
        <v>24</v>
      </c>
      <c r="I77" t="s">
        <v>24</v>
      </c>
      <c r="J77">
        <v>0.01</v>
      </c>
      <c r="K77">
        <v>1</v>
      </c>
      <c r="L77">
        <v>1</v>
      </c>
      <c r="M77">
        <f t="shared" si="6"/>
        <v>0.02</v>
      </c>
      <c r="N77">
        <v>1</v>
      </c>
      <c r="O77">
        <v>0.5</v>
      </c>
      <c r="P77">
        <v>30</v>
      </c>
      <c r="Q77" s="1">
        <f t="shared" si="7"/>
        <v>0.0166666666666667</v>
      </c>
      <c r="R77" s="4">
        <v>0.5</v>
      </c>
      <c r="S77" s="5" t="s">
        <v>423</v>
      </c>
    </row>
    <row r="78" ht="152" spans="1:19">
      <c r="A78">
        <v>77</v>
      </c>
      <c r="B78" t="s">
        <v>288</v>
      </c>
      <c r="C78" t="s">
        <v>424</v>
      </c>
      <c r="D78" t="s">
        <v>425</v>
      </c>
      <c r="E78" t="s">
        <v>426</v>
      </c>
      <c r="F78" t="s">
        <v>427</v>
      </c>
      <c r="G78" t="s">
        <v>428</v>
      </c>
      <c r="H78" t="s">
        <v>24</v>
      </c>
      <c r="I78" t="s">
        <v>24</v>
      </c>
      <c r="J78">
        <v>0.01</v>
      </c>
      <c r="K78">
        <v>1</v>
      </c>
      <c r="L78">
        <v>1</v>
      </c>
      <c r="M78">
        <f t="shared" si="6"/>
        <v>0.02</v>
      </c>
      <c r="N78">
        <v>1</v>
      </c>
      <c r="O78">
        <v>0.5</v>
      </c>
      <c r="P78">
        <v>30</v>
      </c>
      <c r="Q78" s="1">
        <f t="shared" si="7"/>
        <v>0.0166666666666667</v>
      </c>
      <c r="R78" s="4">
        <v>0.5</v>
      </c>
      <c r="S78" s="5" t="s">
        <v>429</v>
      </c>
    </row>
    <row r="79" ht="152" spans="1:19">
      <c r="A79">
        <v>78</v>
      </c>
      <c r="B79" t="s">
        <v>288</v>
      </c>
      <c r="C79" t="s">
        <v>430</v>
      </c>
      <c r="D79" t="s">
        <v>431</v>
      </c>
      <c r="E79" t="s">
        <v>432</v>
      </c>
      <c r="F79" t="s">
        <v>433</v>
      </c>
      <c r="G79" t="s">
        <v>434</v>
      </c>
      <c r="H79" t="s">
        <v>24</v>
      </c>
      <c r="I79" t="s">
        <v>24</v>
      </c>
      <c r="J79">
        <v>0.01</v>
      </c>
      <c r="K79">
        <v>1</v>
      </c>
      <c r="L79">
        <v>1</v>
      </c>
      <c r="M79">
        <f t="shared" si="6"/>
        <v>0.02</v>
      </c>
      <c r="N79">
        <v>1</v>
      </c>
      <c r="O79">
        <v>0.5</v>
      </c>
      <c r="P79">
        <v>30</v>
      </c>
      <c r="Q79" s="1">
        <f t="shared" si="7"/>
        <v>0.0166666666666667</v>
      </c>
      <c r="R79" s="4">
        <v>0.5</v>
      </c>
      <c r="S79" s="5" t="s">
        <v>435</v>
      </c>
    </row>
    <row r="80" ht="152" spans="1:19">
      <c r="A80">
        <v>79</v>
      </c>
      <c r="B80" t="s">
        <v>288</v>
      </c>
      <c r="C80" t="s">
        <v>436</v>
      </c>
      <c r="D80" t="s">
        <v>437</v>
      </c>
      <c r="E80" t="s">
        <v>438</v>
      </c>
      <c r="F80" t="s">
        <v>439</v>
      </c>
      <c r="G80" t="s">
        <v>439</v>
      </c>
      <c r="H80" t="s">
        <v>24</v>
      </c>
      <c r="I80" t="s">
        <v>24</v>
      </c>
      <c r="J80">
        <v>0.01</v>
      </c>
      <c r="K80">
        <v>1</v>
      </c>
      <c r="L80">
        <v>1</v>
      </c>
      <c r="M80">
        <f t="shared" si="6"/>
        <v>0.02</v>
      </c>
      <c r="N80">
        <v>1</v>
      </c>
      <c r="O80">
        <v>0.5</v>
      </c>
      <c r="P80">
        <v>30</v>
      </c>
      <c r="Q80" s="1">
        <f t="shared" si="7"/>
        <v>0.0166666666666667</v>
      </c>
      <c r="R80" s="4">
        <v>0.5</v>
      </c>
      <c r="S80" s="5" t="s">
        <v>440</v>
      </c>
    </row>
    <row r="81" ht="152" spans="1:19">
      <c r="A81">
        <v>80</v>
      </c>
      <c r="B81" t="s">
        <v>288</v>
      </c>
      <c r="C81" t="s">
        <v>441</v>
      </c>
      <c r="D81" t="s">
        <v>442</v>
      </c>
      <c r="E81" t="s">
        <v>443</v>
      </c>
      <c r="F81" t="s">
        <v>444</v>
      </c>
      <c r="G81" t="s">
        <v>445</v>
      </c>
      <c r="H81" t="s">
        <v>24</v>
      </c>
      <c r="I81" t="s">
        <v>24</v>
      </c>
      <c r="J81">
        <v>0.01</v>
      </c>
      <c r="K81">
        <v>1</v>
      </c>
      <c r="L81">
        <v>1</v>
      </c>
      <c r="M81">
        <f t="shared" si="6"/>
        <v>0.02</v>
      </c>
      <c r="N81">
        <v>1</v>
      </c>
      <c r="O81">
        <v>0.5</v>
      </c>
      <c r="P81">
        <v>30</v>
      </c>
      <c r="Q81" s="1">
        <f t="shared" si="7"/>
        <v>0.0166666666666667</v>
      </c>
      <c r="R81" s="4">
        <v>0.5</v>
      </c>
      <c r="S81" s="5" t="s">
        <v>446</v>
      </c>
    </row>
    <row r="82" ht="152" spans="1:19">
      <c r="A82">
        <v>81</v>
      </c>
      <c r="B82" t="s">
        <v>288</v>
      </c>
      <c r="C82" t="s">
        <v>447</v>
      </c>
      <c r="D82" t="s">
        <v>448</v>
      </c>
      <c r="E82" t="s">
        <v>449</v>
      </c>
      <c r="F82" t="s">
        <v>450</v>
      </c>
      <c r="G82" t="s">
        <v>447</v>
      </c>
      <c r="H82" t="s">
        <v>24</v>
      </c>
      <c r="I82" t="s">
        <v>24</v>
      </c>
      <c r="J82">
        <v>0.01</v>
      </c>
      <c r="K82">
        <v>1</v>
      </c>
      <c r="L82">
        <v>1</v>
      </c>
      <c r="M82">
        <f t="shared" si="6"/>
        <v>0.02</v>
      </c>
      <c r="N82">
        <v>1</v>
      </c>
      <c r="O82">
        <v>0.5</v>
      </c>
      <c r="P82">
        <v>30</v>
      </c>
      <c r="Q82" s="1">
        <f t="shared" si="7"/>
        <v>0.0166666666666667</v>
      </c>
      <c r="R82" s="4">
        <v>0.5</v>
      </c>
      <c r="S82" s="5" t="s">
        <v>451</v>
      </c>
    </row>
    <row r="83" ht="152" spans="1:19">
      <c r="A83">
        <v>82</v>
      </c>
      <c r="B83" t="s">
        <v>288</v>
      </c>
      <c r="C83" t="s">
        <v>452</v>
      </c>
      <c r="D83" t="s">
        <v>453</v>
      </c>
      <c r="E83" t="s">
        <v>454</v>
      </c>
      <c r="F83" t="s">
        <v>455</v>
      </c>
      <c r="G83" t="s">
        <v>456</v>
      </c>
      <c r="H83" t="s">
        <v>24</v>
      </c>
      <c r="I83" t="s">
        <v>24</v>
      </c>
      <c r="J83">
        <v>0.01</v>
      </c>
      <c r="K83">
        <v>1</v>
      </c>
      <c r="L83">
        <v>1</v>
      </c>
      <c r="M83">
        <f t="shared" si="6"/>
        <v>0.02</v>
      </c>
      <c r="N83">
        <v>1</v>
      </c>
      <c r="O83">
        <v>0.5</v>
      </c>
      <c r="P83">
        <v>30</v>
      </c>
      <c r="Q83" s="1">
        <f t="shared" si="7"/>
        <v>0.0166666666666667</v>
      </c>
      <c r="R83" s="4">
        <v>0.5</v>
      </c>
      <c r="S83" s="5" t="s">
        <v>457</v>
      </c>
    </row>
    <row r="84" ht="152" spans="1:19">
      <c r="A84">
        <v>83</v>
      </c>
      <c r="B84" t="s">
        <v>288</v>
      </c>
      <c r="C84" t="s">
        <v>458</v>
      </c>
      <c r="D84" t="s">
        <v>459</v>
      </c>
      <c r="E84" t="s">
        <v>460</v>
      </c>
      <c r="F84" t="s">
        <v>461</v>
      </c>
      <c r="G84" t="s">
        <v>462</v>
      </c>
      <c r="H84" t="s">
        <v>24</v>
      </c>
      <c r="I84" t="s">
        <v>24</v>
      </c>
      <c r="J84">
        <v>0.01</v>
      </c>
      <c r="K84">
        <v>1</v>
      </c>
      <c r="L84">
        <v>1</v>
      </c>
      <c r="M84">
        <f t="shared" si="6"/>
        <v>0.02</v>
      </c>
      <c r="N84">
        <v>1</v>
      </c>
      <c r="O84">
        <v>0.5</v>
      </c>
      <c r="P84">
        <v>30</v>
      </c>
      <c r="Q84" s="1">
        <f t="shared" si="7"/>
        <v>0.0166666666666667</v>
      </c>
      <c r="R84" s="4">
        <v>0.5</v>
      </c>
      <c r="S84" s="5" t="s">
        <v>463</v>
      </c>
    </row>
    <row r="85" ht="152" spans="1:19">
      <c r="A85">
        <v>84</v>
      </c>
      <c r="B85" t="s">
        <v>288</v>
      </c>
      <c r="C85" t="s">
        <v>464</v>
      </c>
      <c r="D85" t="s">
        <v>465</v>
      </c>
      <c r="E85" t="s">
        <v>466</v>
      </c>
      <c r="F85" t="s">
        <v>467</v>
      </c>
      <c r="G85" t="s">
        <v>467</v>
      </c>
      <c r="H85" t="s">
        <v>24</v>
      </c>
      <c r="I85" t="s">
        <v>24</v>
      </c>
      <c r="J85">
        <v>0.01</v>
      </c>
      <c r="K85">
        <v>1</v>
      </c>
      <c r="L85">
        <v>1</v>
      </c>
      <c r="M85">
        <f t="shared" ref="M85:M102" si="8">K85*J85+L85*J85</f>
        <v>0.02</v>
      </c>
      <c r="N85">
        <v>1</v>
      </c>
      <c r="O85">
        <v>0.5</v>
      </c>
      <c r="P85">
        <v>30</v>
      </c>
      <c r="Q85" s="1">
        <f t="shared" ref="Q85:Q102" si="9">0.5/P85</f>
        <v>0.0166666666666667</v>
      </c>
      <c r="R85" s="4">
        <v>0.5</v>
      </c>
      <c r="S85" s="5" t="s">
        <v>468</v>
      </c>
    </row>
    <row r="86" ht="152" spans="1:19">
      <c r="A86">
        <v>85</v>
      </c>
      <c r="B86" t="s">
        <v>288</v>
      </c>
      <c r="C86" t="s">
        <v>469</v>
      </c>
      <c r="D86" t="s">
        <v>470</v>
      </c>
      <c r="E86" t="s">
        <v>471</v>
      </c>
      <c r="F86" t="s">
        <v>471</v>
      </c>
      <c r="G86" t="s">
        <v>469</v>
      </c>
      <c r="H86" t="s">
        <v>24</v>
      </c>
      <c r="I86" t="s">
        <v>24</v>
      </c>
      <c r="J86">
        <v>0.01</v>
      </c>
      <c r="K86">
        <v>1</v>
      </c>
      <c r="L86">
        <v>1</v>
      </c>
      <c r="M86">
        <f t="shared" si="8"/>
        <v>0.02</v>
      </c>
      <c r="N86">
        <v>1</v>
      </c>
      <c r="O86">
        <v>0.5</v>
      </c>
      <c r="P86">
        <v>30</v>
      </c>
      <c r="Q86" s="1">
        <f t="shared" si="9"/>
        <v>0.0166666666666667</v>
      </c>
      <c r="R86" s="4">
        <v>0.5</v>
      </c>
      <c r="S86" s="5" t="s">
        <v>472</v>
      </c>
    </row>
    <row r="87" ht="152" spans="1:19">
      <c r="A87">
        <v>86</v>
      </c>
      <c r="B87" t="s">
        <v>288</v>
      </c>
      <c r="C87" t="s">
        <v>473</v>
      </c>
      <c r="D87" t="s">
        <v>474</v>
      </c>
      <c r="E87" t="s">
        <v>475</v>
      </c>
      <c r="F87" t="s">
        <v>476</v>
      </c>
      <c r="G87" t="s">
        <v>476</v>
      </c>
      <c r="H87" t="s">
        <v>24</v>
      </c>
      <c r="I87" t="s">
        <v>24</v>
      </c>
      <c r="J87">
        <v>0.01</v>
      </c>
      <c r="K87">
        <v>1</v>
      </c>
      <c r="L87">
        <v>1</v>
      </c>
      <c r="M87">
        <f t="shared" si="8"/>
        <v>0.02</v>
      </c>
      <c r="N87">
        <v>1</v>
      </c>
      <c r="O87">
        <v>0.5</v>
      </c>
      <c r="P87">
        <v>30</v>
      </c>
      <c r="Q87" s="1">
        <f t="shared" si="9"/>
        <v>0.0166666666666667</v>
      </c>
      <c r="R87" s="4">
        <v>0.5</v>
      </c>
      <c r="S87" s="5" t="s">
        <v>477</v>
      </c>
    </row>
    <row r="88" ht="152" spans="1:19">
      <c r="A88">
        <v>87</v>
      </c>
      <c r="B88" t="s">
        <v>288</v>
      </c>
      <c r="C88" t="s">
        <v>478</v>
      </c>
      <c r="D88" t="s">
        <v>479</v>
      </c>
      <c r="E88" t="s">
        <v>480</v>
      </c>
      <c r="F88" t="s">
        <v>481</v>
      </c>
      <c r="G88" t="s">
        <v>482</v>
      </c>
      <c r="H88" t="s">
        <v>24</v>
      </c>
      <c r="I88" t="s">
        <v>24</v>
      </c>
      <c r="J88">
        <v>0.01</v>
      </c>
      <c r="K88">
        <v>1</v>
      </c>
      <c r="L88">
        <v>1</v>
      </c>
      <c r="M88">
        <f t="shared" si="8"/>
        <v>0.02</v>
      </c>
      <c r="N88">
        <v>1</v>
      </c>
      <c r="O88">
        <v>0.5</v>
      </c>
      <c r="P88">
        <v>30</v>
      </c>
      <c r="Q88" s="1">
        <f t="shared" si="9"/>
        <v>0.0166666666666667</v>
      </c>
      <c r="R88" s="4">
        <v>0.5</v>
      </c>
      <c r="S88" s="5" t="s">
        <v>483</v>
      </c>
    </row>
    <row r="89" ht="152" spans="1:19">
      <c r="A89">
        <v>88</v>
      </c>
      <c r="B89" t="s">
        <v>288</v>
      </c>
      <c r="C89" t="s">
        <v>484</v>
      </c>
      <c r="D89" t="s">
        <v>485</v>
      </c>
      <c r="E89" t="s">
        <v>486</v>
      </c>
      <c r="F89" t="s">
        <v>487</v>
      </c>
      <c r="G89" t="s">
        <v>488</v>
      </c>
      <c r="H89" t="s">
        <v>24</v>
      </c>
      <c r="I89" t="s">
        <v>24</v>
      </c>
      <c r="J89">
        <v>0.01</v>
      </c>
      <c r="K89">
        <v>1</v>
      </c>
      <c r="L89">
        <v>1</v>
      </c>
      <c r="M89">
        <f t="shared" si="8"/>
        <v>0.02</v>
      </c>
      <c r="N89">
        <v>1</v>
      </c>
      <c r="O89">
        <v>0.5</v>
      </c>
      <c r="P89">
        <v>30</v>
      </c>
      <c r="Q89" s="1">
        <f t="shared" si="9"/>
        <v>0.0166666666666667</v>
      </c>
      <c r="R89" s="4">
        <v>0.5</v>
      </c>
      <c r="S89" s="5" t="s">
        <v>489</v>
      </c>
    </row>
    <row r="90" ht="152" spans="1:19">
      <c r="A90">
        <v>89</v>
      </c>
      <c r="B90" t="s">
        <v>288</v>
      </c>
      <c r="C90" t="s">
        <v>490</v>
      </c>
      <c r="D90" t="s">
        <v>491</v>
      </c>
      <c r="E90" t="s">
        <v>492</v>
      </c>
      <c r="F90" t="s">
        <v>493</v>
      </c>
      <c r="G90" t="s">
        <v>494</v>
      </c>
      <c r="H90" t="s">
        <v>24</v>
      </c>
      <c r="I90" t="s">
        <v>24</v>
      </c>
      <c r="J90">
        <v>0.01</v>
      </c>
      <c r="K90">
        <v>1</v>
      </c>
      <c r="L90">
        <v>1</v>
      </c>
      <c r="M90">
        <f t="shared" si="8"/>
        <v>0.02</v>
      </c>
      <c r="N90">
        <v>1</v>
      </c>
      <c r="O90">
        <v>0.5</v>
      </c>
      <c r="P90">
        <v>30</v>
      </c>
      <c r="Q90" s="1">
        <f t="shared" si="9"/>
        <v>0.0166666666666667</v>
      </c>
      <c r="R90" s="4">
        <v>0.5</v>
      </c>
      <c r="S90" s="5" t="s">
        <v>495</v>
      </c>
    </row>
    <row r="91" ht="152" spans="1:19">
      <c r="A91">
        <v>90</v>
      </c>
      <c r="B91" t="s">
        <v>288</v>
      </c>
      <c r="C91" t="s">
        <v>496</v>
      </c>
      <c r="D91" t="s">
        <v>497</v>
      </c>
      <c r="E91" t="s">
        <v>498</v>
      </c>
      <c r="F91" t="s">
        <v>499</v>
      </c>
      <c r="G91" t="s">
        <v>500</v>
      </c>
      <c r="H91" t="s">
        <v>24</v>
      </c>
      <c r="I91" t="s">
        <v>24</v>
      </c>
      <c r="J91">
        <v>0.01</v>
      </c>
      <c r="K91">
        <v>1</v>
      </c>
      <c r="L91">
        <v>1</v>
      </c>
      <c r="M91">
        <f t="shared" si="8"/>
        <v>0.02</v>
      </c>
      <c r="N91">
        <v>1</v>
      </c>
      <c r="O91">
        <v>0.5</v>
      </c>
      <c r="P91">
        <v>30</v>
      </c>
      <c r="Q91" s="1">
        <f t="shared" si="9"/>
        <v>0.0166666666666667</v>
      </c>
      <c r="R91" s="4">
        <v>0.5</v>
      </c>
      <c r="S91" s="5" t="s">
        <v>501</v>
      </c>
    </row>
    <row r="92" ht="152" spans="1:19">
      <c r="A92">
        <v>91</v>
      </c>
      <c r="B92" t="s">
        <v>288</v>
      </c>
      <c r="C92" t="s">
        <v>502</v>
      </c>
      <c r="D92" t="s">
        <v>503</v>
      </c>
      <c r="E92" t="s">
        <v>504</v>
      </c>
      <c r="F92" t="s">
        <v>505</v>
      </c>
      <c r="G92" t="s">
        <v>506</v>
      </c>
      <c r="H92" t="s">
        <v>24</v>
      </c>
      <c r="I92" t="s">
        <v>24</v>
      </c>
      <c r="J92">
        <v>0.01</v>
      </c>
      <c r="K92">
        <v>1</v>
      </c>
      <c r="L92">
        <v>1</v>
      </c>
      <c r="M92">
        <f t="shared" si="8"/>
        <v>0.02</v>
      </c>
      <c r="N92">
        <v>1</v>
      </c>
      <c r="O92">
        <v>0.5</v>
      </c>
      <c r="P92">
        <v>30</v>
      </c>
      <c r="Q92" s="1">
        <f t="shared" si="9"/>
        <v>0.0166666666666667</v>
      </c>
      <c r="R92" s="4">
        <v>0.5</v>
      </c>
      <c r="S92" s="5" t="s">
        <v>507</v>
      </c>
    </row>
    <row r="93" ht="152" spans="1:19">
      <c r="A93">
        <v>92</v>
      </c>
      <c r="B93" t="s">
        <v>288</v>
      </c>
      <c r="C93" t="s">
        <v>508</v>
      </c>
      <c r="D93" t="s">
        <v>509</v>
      </c>
      <c r="E93" t="s">
        <v>510</v>
      </c>
      <c r="F93" t="s">
        <v>511</v>
      </c>
      <c r="G93" t="s">
        <v>512</v>
      </c>
      <c r="H93" t="s">
        <v>24</v>
      </c>
      <c r="I93" t="s">
        <v>24</v>
      </c>
      <c r="J93">
        <v>0.01</v>
      </c>
      <c r="K93">
        <v>1</v>
      </c>
      <c r="L93">
        <v>1</v>
      </c>
      <c r="M93">
        <f t="shared" si="8"/>
        <v>0.02</v>
      </c>
      <c r="N93">
        <v>1</v>
      </c>
      <c r="O93">
        <v>0.5</v>
      </c>
      <c r="P93">
        <v>30</v>
      </c>
      <c r="Q93" s="1">
        <f t="shared" si="9"/>
        <v>0.0166666666666667</v>
      </c>
      <c r="R93" s="4">
        <v>0.5</v>
      </c>
      <c r="S93" s="5" t="s">
        <v>513</v>
      </c>
    </row>
    <row r="94" ht="152" spans="1:19">
      <c r="A94">
        <v>93</v>
      </c>
      <c r="B94" t="s">
        <v>288</v>
      </c>
      <c r="C94" t="s">
        <v>514</v>
      </c>
      <c r="D94" t="s">
        <v>515</v>
      </c>
      <c r="E94" t="s">
        <v>516</v>
      </c>
      <c r="F94" t="s">
        <v>517</v>
      </c>
      <c r="G94" t="s">
        <v>514</v>
      </c>
      <c r="H94" t="s">
        <v>24</v>
      </c>
      <c r="I94" t="s">
        <v>24</v>
      </c>
      <c r="J94">
        <v>0.01</v>
      </c>
      <c r="K94">
        <v>1</v>
      </c>
      <c r="L94">
        <v>1</v>
      </c>
      <c r="M94">
        <f t="shared" si="8"/>
        <v>0.02</v>
      </c>
      <c r="N94">
        <v>1</v>
      </c>
      <c r="O94">
        <v>0.5</v>
      </c>
      <c r="P94">
        <v>30</v>
      </c>
      <c r="Q94" s="1">
        <f t="shared" si="9"/>
        <v>0.0166666666666667</v>
      </c>
      <c r="R94" s="4">
        <v>0.5</v>
      </c>
      <c r="S94" s="5" t="s">
        <v>518</v>
      </c>
    </row>
    <row r="95" ht="152" spans="1:19">
      <c r="A95">
        <v>94</v>
      </c>
      <c r="B95" t="s">
        <v>288</v>
      </c>
      <c r="C95" t="s">
        <v>519</v>
      </c>
      <c r="D95" t="s">
        <v>520</v>
      </c>
      <c r="E95" t="s">
        <v>521</v>
      </c>
      <c r="F95" t="s">
        <v>522</v>
      </c>
      <c r="G95" t="s">
        <v>523</v>
      </c>
      <c r="H95" t="s">
        <v>24</v>
      </c>
      <c r="I95" t="s">
        <v>24</v>
      </c>
      <c r="J95">
        <v>0.01</v>
      </c>
      <c r="K95">
        <v>1</v>
      </c>
      <c r="L95">
        <v>1</v>
      </c>
      <c r="M95">
        <f t="shared" si="8"/>
        <v>0.02</v>
      </c>
      <c r="N95">
        <v>1</v>
      </c>
      <c r="O95">
        <v>0.5</v>
      </c>
      <c r="P95">
        <v>30</v>
      </c>
      <c r="Q95" s="1">
        <f t="shared" si="9"/>
        <v>0.0166666666666667</v>
      </c>
      <c r="R95" s="4">
        <v>0.5</v>
      </c>
      <c r="S95" s="5" t="s">
        <v>524</v>
      </c>
    </row>
    <row r="96" ht="152" spans="1:19">
      <c r="A96">
        <v>95</v>
      </c>
      <c r="B96" t="s">
        <v>288</v>
      </c>
      <c r="C96" t="s">
        <v>525</v>
      </c>
      <c r="D96" t="s">
        <v>526</v>
      </c>
      <c r="E96" t="s">
        <v>527</v>
      </c>
      <c r="F96" t="s">
        <v>528</v>
      </c>
      <c r="G96" t="s">
        <v>529</v>
      </c>
      <c r="H96" t="s">
        <v>24</v>
      </c>
      <c r="I96" t="s">
        <v>24</v>
      </c>
      <c r="J96">
        <v>0.01</v>
      </c>
      <c r="K96">
        <v>1</v>
      </c>
      <c r="L96">
        <v>1</v>
      </c>
      <c r="M96">
        <f t="shared" si="8"/>
        <v>0.02</v>
      </c>
      <c r="N96">
        <v>1</v>
      </c>
      <c r="O96">
        <v>0.5</v>
      </c>
      <c r="P96">
        <v>30</v>
      </c>
      <c r="Q96" s="1">
        <f t="shared" si="9"/>
        <v>0.0166666666666667</v>
      </c>
      <c r="R96" s="4">
        <v>0.5</v>
      </c>
      <c r="S96" s="5" t="s">
        <v>530</v>
      </c>
    </row>
    <row r="97" ht="152" spans="1:19">
      <c r="A97">
        <v>96</v>
      </c>
      <c r="B97" t="s">
        <v>288</v>
      </c>
      <c r="C97" t="s">
        <v>531</v>
      </c>
      <c r="D97" t="s">
        <v>532</v>
      </c>
      <c r="E97" t="s">
        <v>533</v>
      </c>
      <c r="F97" t="s">
        <v>534</v>
      </c>
      <c r="G97" t="s">
        <v>535</v>
      </c>
      <c r="H97" t="s">
        <v>24</v>
      </c>
      <c r="I97" t="s">
        <v>24</v>
      </c>
      <c r="J97">
        <v>0.01</v>
      </c>
      <c r="K97">
        <v>1</v>
      </c>
      <c r="L97">
        <v>1</v>
      </c>
      <c r="M97">
        <f t="shared" si="8"/>
        <v>0.02</v>
      </c>
      <c r="N97">
        <v>1</v>
      </c>
      <c r="O97">
        <v>0.5</v>
      </c>
      <c r="P97">
        <v>30</v>
      </c>
      <c r="Q97" s="1">
        <f t="shared" si="9"/>
        <v>0.0166666666666667</v>
      </c>
      <c r="R97" s="4">
        <v>0.5</v>
      </c>
      <c r="S97" s="5" t="s">
        <v>536</v>
      </c>
    </row>
    <row r="98" ht="152" spans="1:19">
      <c r="A98">
        <v>97</v>
      </c>
      <c r="B98" t="s">
        <v>288</v>
      </c>
      <c r="C98" t="s">
        <v>537</v>
      </c>
      <c r="D98" t="s">
        <v>538</v>
      </c>
      <c r="E98" t="s">
        <v>539</v>
      </c>
      <c r="F98" t="s">
        <v>540</v>
      </c>
      <c r="G98" t="s">
        <v>541</v>
      </c>
      <c r="H98" t="s">
        <v>24</v>
      </c>
      <c r="I98" t="s">
        <v>24</v>
      </c>
      <c r="J98">
        <v>0.01</v>
      </c>
      <c r="K98">
        <v>1</v>
      </c>
      <c r="L98">
        <v>1</v>
      </c>
      <c r="M98">
        <f t="shared" si="8"/>
        <v>0.02</v>
      </c>
      <c r="N98">
        <v>1</v>
      </c>
      <c r="O98">
        <v>0.5</v>
      </c>
      <c r="P98">
        <v>30</v>
      </c>
      <c r="Q98" s="1">
        <f t="shared" si="9"/>
        <v>0.0166666666666667</v>
      </c>
      <c r="R98" s="4">
        <v>0.5</v>
      </c>
      <c r="S98" s="5" t="s">
        <v>542</v>
      </c>
    </row>
    <row r="99" ht="152" spans="1:19">
      <c r="A99">
        <v>98</v>
      </c>
      <c r="B99" t="s">
        <v>288</v>
      </c>
      <c r="C99" t="s">
        <v>543</v>
      </c>
      <c r="D99" t="s">
        <v>544</v>
      </c>
      <c r="E99" t="s">
        <v>545</v>
      </c>
      <c r="F99" t="s">
        <v>546</v>
      </c>
      <c r="G99" t="s">
        <v>547</v>
      </c>
      <c r="H99" t="s">
        <v>24</v>
      </c>
      <c r="I99" t="s">
        <v>24</v>
      </c>
      <c r="J99">
        <v>0.01</v>
      </c>
      <c r="K99">
        <v>1</v>
      </c>
      <c r="L99">
        <v>1</v>
      </c>
      <c r="M99">
        <f t="shared" si="8"/>
        <v>0.02</v>
      </c>
      <c r="N99">
        <v>1</v>
      </c>
      <c r="O99">
        <v>0.5</v>
      </c>
      <c r="P99">
        <v>30</v>
      </c>
      <c r="Q99" s="1">
        <f t="shared" si="9"/>
        <v>0.0166666666666667</v>
      </c>
      <c r="R99" s="4">
        <v>0.5</v>
      </c>
      <c r="S99" s="5" t="s">
        <v>548</v>
      </c>
    </row>
    <row r="100" ht="152" spans="1:19">
      <c r="A100">
        <v>99</v>
      </c>
      <c r="B100" t="s">
        <v>288</v>
      </c>
      <c r="C100" t="s">
        <v>549</v>
      </c>
      <c r="D100" t="s">
        <v>550</v>
      </c>
      <c r="E100" t="s">
        <v>551</v>
      </c>
      <c r="F100" t="s">
        <v>552</v>
      </c>
      <c r="G100" t="s">
        <v>553</v>
      </c>
      <c r="H100" t="s">
        <v>24</v>
      </c>
      <c r="I100" t="s">
        <v>24</v>
      </c>
      <c r="J100">
        <v>0.01</v>
      </c>
      <c r="K100">
        <v>1</v>
      </c>
      <c r="L100">
        <v>1</v>
      </c>
      <c r="M100">
        <f t="shared" si="8"/>
        <v>0.02</v>
      </c>
      <c r="N100">
        <v>1</v>
      </c>
      <c r="O100">
        <v>0.5</v>
      </c>
      <c r="P100">
        <v>30</v>
      </c>
      <c r="Q100" s="1">
        <f t="shared" si="9"/>
        <v>0.0166666666666667</v>
      </c>
      <c r="R100" s="4">
        <v>0.5</v>
      </c>
      <c r="S100" s="5" t="s">
        <v>554</v>
      </c>
    </row>
    <row r="101" ht="152" spans="1:19">
      <c r="A101">
        <v>100</v>
      </c>
      <c r="B101" t="s">
        <v>288</v>
      </c>
      <c r="C101" t="s">
        <v>555</v>
      </c>
      <c r="D101" t="s">
        <v>556</v>
      </c>
      <c r="E101" t="s">
        <v>557</v>
      </c>
      <c r="F101" t="s">
        <v>558</v>
      </c>
      <c r="G101" t="s">
        <v>559</v>
      </c>
      <c r="H101" t="s">
        <v>24</v>
      </c>
      <c r="I101" t="s">
        <v>24</v>
      </c>
      <c r="J101">
        <v>0.01</v>
      </c>
      <c r="K101">
        <v>1</v>
      </c>
      <c r="L101">
        <v>1</v>
      </c>
      <c r="M101">
        <f t="shared" si="8"/>
        <v>0.02</v>
      </c>
      <c r="N101">
        <v>1</v>
      </c>
      <c r="O101">
        <v>0.5</v>
      </c>
      <c r="P101">
        <v>30</v>
      </c>
      <c r="Q101" s="1">
        <f t="shared" si="9"/>
        <v>0.0166666666666667</v>
      </c>
      <c r="R101" s="4">
        <v>0.5</v>
      </c>
      <c r="S101" s="5" t="s">
        <v>560</v>
      </c>
    </row>
    <row r="102" spans="1:19">
      <c r="R102" s="4"/>
    </row>
  </sheetData>
  <dataValidations count="1">
    <dataValidation type="list" allowBlank="1" showInputMessage="1" showErrorMessage="1" sqref="B2:B101">
      <formula1>"指数,商品,Crypto,股票,外汇"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品种交易设置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liujiajun</dc:creator>
  <cp:lastModifiedBy>zhengwei</cp:lastModifiedBy>
  <dcterms:created xsi:type="dcterms:W3CDTF">2025-07-17T17:28:00Z</dcterms:created>
  <dcterms:modified xsi:type="dcterms:W3CDTF">2026-03-01T15:56:21Z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20ED1A8A177837B84C007768FF57C1D7_41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